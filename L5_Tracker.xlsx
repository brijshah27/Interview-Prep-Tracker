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" sheetId="1" r:id="rId1"/>
    <sheet name="Settings" sheetId="2" r:id="rId2"/>
    <sheet name="Dashboard" sheetId="3" r:id="rId3"/>
    <sheet name="Plan" sheetId="4" r:id="rId4"/>
  </sheets>
  <definedNames>
    <definedName name="_xlnm._FilterDatabase" localSheetId="0">'State'!A1:L522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0.0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2"/>
  <sheetViews>
    <sheetView workbookViewId="0"/>
  </sheetViews>
  <cols>
    <col min="1" max="1" width="14.83203125" customWidth="1"/>
    <col min="2" max="2" width="7.83203125" customWidth="1"/>
    <col min="3" max="3" width="20.83203125" customWidth="1"/>
    <col min="4" max="4" width="6.83203125" customWidth="1"/>
    <col min="5" max="5" width="52.83203125" customWidth="1"/>
    <col min="6" max="6" width="70.83203125" customWidth="1"/>
    <col min="7" max="7" width="7.83203125" customWidth="1"/>
    <col min="8" max="8" width="17.83203125" customWidth="1"/>
    <col min="9" max="9" width="8.83203125" customWidth="1"/>
    <col min="10" max="10" width="8.83203125" customWidth="1"/>
    <col min="11" max="11" width="40.83203125" customWidth="1"/>
    <col min="12" max="12" width="14.83203125" customWidth="1"/>
  </cols>
  <sheetData>
    <row r="1">
      <c r="A1" s="1" t="str">
        <v>id</v>
      </c>
      <c r="B1" s="1" t="str">
        <v>track</v>
      </c>
      <c r="C1" s="1" t="str">
        <v>group</v>
      </c>
      <c r="D1" s="1" t="str">
        <v>week</v>
      </c>
      <c r="E1" s="1" t="str">
        <v>label</v>
      </c>
      <c r="F1" s="1" t="str">
        <v>detail</v>
      </c>
      <c r="G1" s="1" t="str">
        <v>status</v>
      </c>
      <c r="H1" s="1" t="str">
        <v>status_text</v>
      </c>
      <c r="I1" s="1" t="str">
        <v>hours</v>
      </c>
      <c r="J1" s="1" t="str">
        <v>solved</v>
      </c>
      <c r="K1" s="1" t="str">
        <v>note</v>
      </c>
      <c r="L1" s="1" t="str">
        <v>link</v>
      </c>
    </row>
    <row r="2">
      <c r="A2" s="1" t="str">
        <v>wk-1</v>
      </c>
      <c r="B2" s="1" t="str">
        <v>wk</v>
      </c>
      <c r="C2" s="1" t="str">
        <v>P0: Python first</v>
      </c>
      <c r="D2" s="1">
        <v>1</v>
      </c>
      <c r="E2" s="1" t="str">
        <v>Week 1 complete</v>
      </c>
      <c r="F2" s="1" t="str">
        <v>Nine solutions written with zero range(len(x)) and zero string concatenation inside a loop</v>
      </c>
      <c r="G2" s="1">
        <v>0</v>
      </c>
      <c r="H2" s="1">
        <f>IFERROR(IF(B2="dsa",CHOOSE(G2+1,"Not started","Attempted","Solved with help","Solved unaided"),IF(OR(B2="bq",B2="res",B2="day"),CHOOSE(G2+1,"Not started","Done"),CHOOSE(G2+1,"Not started","In progress","Done"))),"invalid")</f>
      </c>
    </row>
    <row r="3">
      <c r="A3" s="1" t="str">
        <v>wk-2</v>
      </c>
      <c r="B3" s="1" t="str">
        <v>wk</v>
      </c>
      <c r="C3" s="1" t="str">
        <v>P0: Python first</v>
      </c>
      <c r="D3" s="1">
        <v>2</v>
      </c>
      <c r="E3" s="1" t="str">
        <v>Week 2 complete</v>
      </c>
      <c r="F3" s="1" t="str">
        <v>Name the right Python container for any Java or C# collection in under five seconds</v>
      </c>
      <c r="G3" s="1">
        <v>0</v>
      </c>
      <c r="H3" s="1">
        <f>IFERROR(IF(B3="dsa",CHOOSE(G3+1,"Not started","Attempted","Solved with help","Solved unaided"),IF(OR(B3="bq",B3="res",B3="day"),CHOOSE(G3+1,"Not started","Done"),CHOOSE(G3+1,"Not started","In progress","Done"))),"invalid")</f>
      </c>
    </row>
    <row r="4">
      <c r="A4" s="1" t="str">
        <v>wk-3</v>
      </c>
      <c r="B4" s="1" t="str">
        <v>wk</v>
      </c>
      <c r="C4" s="1" t="str">
        <v>P0: Python first</v>
      </c>
      <c r="D4" s="1">
        <v>3</v>
      </c>
      <c r="E4" s="1" t="str">
        <v>Week 3 complete</v>
      </c>
      <c r="F4" s="1" t="str">
        <v>PYTHON GATE: 30 minutes, blank page, no reference. Two easy problems, idiomatic Python. Fail means repeat week 3.</v>
      </c>
      <c r="G4" s="1">
        <v>0</v>
      </c>
      <c r="H4" s="1">
        <f>IFERROR(IF(B4="dsa",CHOOSE(G4+1,"Not started","Attempted","Solved with help","Solved unaided"),IF(OR(B4="bq",B4="res",B4="day"),CHOOSE(G4+1,"Not started","Done"),CHOOSE(G4+1,"Not started","In progress","Done"))),"invalid")</f>
      </c>
    </row>
    <row r="5">
      <c r="A5" s="1" t="str">
        <v>wk-4</v>
      </c>
      <c r="B5" s="1" t="str">
        <v>wk</v>
      </c>
      <c r="C5" s="1" t="str">
        <v>P0: Reset</v>
      </c>
      <c r="D5" s="1">
        <v>4</v>
      </c>
      <c r="E5" s="1" t="str">
        <v>Week 4 complete</v>
      </c>
      <c r="F5" s="1" t="str">
        <v>Solve 9 array/hash problems in Python without looking at Java habits</v>
      </c>
      <c r="G5" s="1">
        <v>0</v>
      </c>
      <c r="H5" s="1">
        <f>IFERROR(IF(B5="dsa",CHOOSE(G5+1,"Not started","Attempted","Solved with help","Solved unaided"),IF(OR(B5="bq",B5="res",B5="day"),CHOOSE(G5+1,"Not started","Done"),CHOOSE(G5+1,"Not started","In progress","Done"))),"invalid")</f>
      </c>
    </row>
    <row r="6">
      <c r="A6" s="1" t="str">
        <v>wk-5</v>
      </c>
      <c r="B6" s="1" t="str">
        <v>wk</v>
      </c>
      <c r="C6" s="1" t="str">
        <v>P0: Reset</v>
      </c>
      <c r="D6" s="1">
        <v>5</v>
      </c>
      <c r="E6" s="1" t="str">
        <v>Week 5 complete</v>
      </c>
      <c r="F6" s="1" t="str">
        <v>Can name the right Python container for any Java collection in &lt;5s</v>
      </c>
      <c r="G6" s="1">
        <v>0</v>
      </c>
      <c r="H6" s="1">
        <f>IFERROR(IF(B6="dsa",CHOOSE(G6+1,"Not started","Attempted","Solved with help","Solved unaided"),IF(OR(B6="bq",B6="res",B6="day"),CHOOSE(G6+1,"Not started","Done"),CHOOSE(G6+1,"Not started","In progress","Done"))),"invalid")</f>
      </c>
    </row>
    <row r="7">
      <c r="A7" s="1" t="str">
        <v>wk-6</v>
      </c>
      <c r="B7" s="1" t="str">
        <v>wk</v>
      </c>
      <c r="C7" s="1" t="str">
        <v>P1: Core Patterns</v>
      </c>
      <c r="D7" s="1">
        <v>6</v>
      </c>
      <c r="E7" s="1" t="str">
        <v>Week 6 complete</v>
      </c>
      <c r="F7" s="1" t="str">
        <v>Assessment 0: re-solve 5 Week-1 problems from scratch, timed 25 min each</v>
      </c>
      <c r="G7" s="1">
        <v>0</v>
      </c>
      <c r="H7" s="1">
        <f>IFERROR(IF(B7="dsa",CHOOSE(G7+1,"Not started","Attempted","Solved with help","Solved unaided"),IF(OR(B7="bq",B7="res",B7="day"),CHOOSE(G7+1,"Not started","Done"),CHOOSE(G7+1,"Not started","In progress","Done"))),"invalid")</f>
      </c>
    </row>
    <row r="8">
      <c r="A8" s="1" t="str">
        <v>wk-7</v>
      </c>
      <c r="B8" s="1" t="str">
        <v>wk</v>
      </c>
      <c r="C8" s="1" t="str">
        <v>P1: Core Patterns</v>
      </c>
      <c r="D8" s="1">
        <v>7</v>
      </c>
      <c r="E8" s="1" t="str">
        <v>Week 7 complete</v>
      </c>
      <c r="F8" s="1" t="str">
        <v>Estimate storage+QPS for 3 systems out loud in under 5 min each</v>
      </c>
      <c r="G8" s="1">
        <v>0</v>
      </c>
      <c r="H8" s="1">
        <f>IFERROR(IF(B8="dsa",CHOOSE(G8+1,"Not started","Attempted","Solved with help","Solved unaided"),IF(OR(B8="bq",B8="res",B8="day"),CHOOSE(G8+1,"Not started","Done"),CHOOSE(G8+1,"Not started","In progress","Done"))),"invalid")</f>
      </c>
    </row>
    <row r="9">
      <c r="A9" s="1" t="str">
        <v>wk-8</v>
      </c>
      <c r="B9" s="1" t="str">
        <v>wk</v>
      </c>
      <c r="C9" s="1" t="str">
        <v>P1: Core Patterns</v>
      </c>
      <c r="D9" s="1">
        <v>8</v>
      </c>
      <c r="E9" s="1" t="str">
        <v>Week 8 complete</v>
      </c>
      <c r="F9" s="1" t="str">
        <v>LRU Cache written from memory in Python in &lt;20 min</v>
      </c>
      <c r="G9" s="1">
        <v>0</v>
      </c>
      <c r="H9" s="1">
        <f>IFERROR(IF(B9="dsa",CHOOSE(G9+1,"Not started","Attempted","Solved with help","Solved unaided"),IF(OR(B9="bq",B9="res",B9="day"),CHOOSE(G9+1,"Not started","Done"),CHOOSE(G9+1,"Not started","In progress","Done"))),"invalid")</f>
      </c>
    </row>
    <row r="10">
      <c r="A10" s="1" t="str">
        <v>wk-9</v>
      </c>
      <c r="B10" s="1" t="str">
        <v>wk</v>
      </c>
      <c r="C10" s="1" t="str">
        <v>P1: Core Patterns</v>
      </c>
      <c r="D10" s="1">
        <v>9</v>
      </c>
      <c r="E10" s="1" t="str">
        <v>Week 9 complete</v>
      </c>
      <c r="F10" s="1" t="str">
        <v>Draw + explain a cache-aside architecture with failure modes</v>
      </c>
      <c r="G10" s="1">
        <v>0</v>
      </c>
      <c r="H10" s="1">
        <f>IFERROR(IF(B10="dsa",CHOOSE(G10+1,"Not started","Attempted","Solved with help","Solved unaided"),IF(OR(B10="bq",B10="res",B10="day"),CHOOSE(G10+1,"Not started","Done"),CHOOSE(G10+1,"Not started","In progress","Done"))),"invalid")</f>
      </c>
    </row>
    <row r="11">
      <c r="A11" s="1" t="str">
        <v>wk-10</v>
      </c>
      <c r="B11" s="1" t="str">
        <v>wk</v>
      </c>
      <c r="C11" s="1" t="str">
        <v>P1: Core Patterns</v>
      </c>
      <c r="D11" s="1">
        <v>10</v>
      </c>
      <c r="E11" s="1" t="str">
        <v>Week 10 complete</v>
      </c>
      <c r="F11" s="1" t="str">
        <v>Explain consistent hashing on a whiteboard in 5 min</v>
      </c>
      <c r="G11" s="1">
        <v>0</v>
      </c>
      <c r="H11" s="1">
        <f>IFERROR(IF(B11="dsa",CHOOSE(G11+1,"Not started","Attempted","Solved with help","Solved unaided"),IF(OR(B11="bq",B11="res",B11="day"),CHOOSE(G11+1,"Not started","Done"),CHOOSE(G11+1,"Not started","In progress","Done"))),"invalid")</f>
      </c>
    </row>
    <row r="12">
      <c r="A12" s="1" t="str">
        <v>wk-11</v>
      </c>
      <c r="B12" s="1" t="str">
        <v>wk</v>
      </c>
      <c r="C12" s="1" t="str">
        <v>P1: Core Patterns</v>
      </c>
      <c r="D12" s="1">
        <v>11</v>
      </c>
      <c r="E12" s="1" t="str">
        <v>Week 11 complete</v>
      </c>
      <c r="F12" s="1" t="str">
        <v>ASSESSMENT 1: 2 timed medium problems in a plain Google Doc, no IDE</v>
      </c>
      <c r="G12" s="1">
        <v>0</v>
      </c>
      <c r="H12" s="1">
        <f>IFERROR(IF(B12="dsa",CHOOSE(G12+1,"Not started","Attempted","Solved with help","Solved unaided"),IF(OR(B12="bq",B12="res",B12="day"),CHOOSE(G12+1,"Not started","Done"),CHOOSE(G12+1,"Not started","In progress","Done"))),"invalid")</f>
      </c>
    </row>
    <row r="13">
      <c r="A13" s="1" t="str">
        <v>wk-12</v>
      </c>
      <c r="B13" s="1" t="str">
        <v>wk</v>
      </c>
      <c r="C13" s="1" t="str">
        <v>P2: Graphs &amp; DP</v>
      </c>
      <c r="D13" s="1">
        <v>12</v>
      </c>
      <c r="E13" s="1" t="str">
        <v>Week 12 complete</v>
      </c>
      <c r="F13" s="1" t="str">
        <v>Two full design write-ups with API, data model, scale numbers</v>
      </c>
      <c r="G13" s="1">
        <v>0</v>
      </c>
      <c r="H13" s="1">
        <f>IFERROR(IF(B13="dsa",CHOOSE(G13+1,"Not started","Attempted","Solved with help","Solved unaided"),IF(OR(B13="bq",B13="res",B13="day"),CHOOSE(G13+1,"Not started","Done"),CHOOSE(G13+1,"Not started","In progress","Done"))),"invalid")</f>
      </c>
    </row>
    <row r="14">
      <c r="A14" s="1" t="str">
        <v>wk-13</v>
      </c>
      <c r="B14" s="1" t="str">
        <v>wk</v>
      </c>
      <c r="C14" s="1" t="str">
        <v>P2: Graphs &amp; DP</v>
      </c>
      <c r="D14" s="1">
        <v>13</v>
      </c>
      <c r="E14" s="1" t="str">
        <v>Week 13 complete</v>
      </c>
      <c r="F14" s="1" t="str">
        <v>Explain fan-out tradeoffs with concrete numbers</v>
      </c>
      <c r="G14" s="1">
        <v>0</v>
      </c>
      <c r="H14" s="1">
        <f>IFERROR(IF(B14="dsa",CHOOSE(G14+1,"Not started","Attempted","Solved with help","Solved unaided"),IF(OR(B14="bq",B14="res",B14="day"),CHOOSE(G14+1,"Not started","Done"),CHOOSE(G14+1,"Not started","In progress","Done"))),"invalid")</f>
      </c>
    </row>
    <row r="15">
      <c r="A15" s="1" t="str">
        <v>wk-14</v>
      </c>
      <c r="B15" s="1" t="str">
        <v>wk</v>
      </c>
      <c r="C15" s="1" t="str">
        <v>P2: Graphs &amp; DP</v>
      </c>
      <c r="D15" s="1">
        <v>14</v>
      </c>
      <c r="E15" s="1" t="str">
        <v>Week 14 complete</v>
      </c>
      <c r="F15" s="1" t="str">
        <v>Solve 5 DP problems top-down AND bottom-up</v>
      </c>
      <c r="G15" s="1">
        <v>0</v>
      </c>
      <c r="H15" s="1">
        <f>IFERROR(IF(B15="dsa",CHOOSE(G15+1,"Not started","Attempted","Solved with help","Solved unaided"),IF(OR(B15="bq",B15="res",B15="day"),CHOOSE(G15+1,"Not started","Done"),CHOOSE(G15+1,"Not started","In progress","Done"))),"invalid")</f>
      </c>
    </row>
    <row r="16">
      <c r="A16" s="1" t="str">
        <v>wk-15</v>
      </c>
      <c r="B16" s="1" t="str">
        <v>wk</v>
      </c>
      <c r="C16" s="1" t="str">
        <v>P2: Graphs &amp; DP</v>
      </c>
      <c r="D16" s="1">
        <v>15</v>
      </c>
      <c r="E16" s="1" t="str">
        <v>Week 15 complete</v>
      </c>
      <c r="F16" s="1" t="str">
        <v>ASSESSMENT 2: 2 timed problems (1 med + 1 hard) + 1 design in 90 min</v>
      </c>
      <c r="G16" s="1">
        <v>0</v>
      </c>
      <c r="H16" s="1">
        <f>IFERROR(IF(B16="dsa",CHOOSE(G16+1,"Not started","Attempted","Solved with help","Solved unaided"),IF(OR(B16="bq",B16="res",B16="day"),CHOOSE(G16+1,"Not started","Done"),CHOOSE(G16+1,"Not started","In progress","Done"))),"invalid")</f>
      </c>
    </row>
    <row r="17">
      <c r="A17" s="1" t="str">
        <v>wk-16</v>
      </c>
      <c r="B17" s="1" t="str">
        <v>wk</v>
      </c>
      <c r="C17" s="1" t="str">
        <v>P3: Depth</v>
      </c>
      <c r="D17" s="1">
        <v>16</v>
      </c>
      <c r="E17" s="1" t="str">
        <v>Week 16 complete</v>
      </c>
      <c r="F17" s="1" t="str">
        <v>Every story has a quantified Result line with a real metric</v>
      </c>
      <c r="G17" s="1">
        <v>0</v>
      </c>
      <c r="H17" s="1">
        <f>IFERROR(IF(B17="dsa",CHOOSE(G17+1,"Not started","Attempted","Solved with help","Solved unaided"),IF(OR(B17="bq",B17="res",B17="day"),CHOOSE(G17+1,"Not started","Done"),CHOOSE(G17+1,"Not started","In progress","Done"))),"invalid")</f>
      </c>
    </row>
    <row r="18">
      <c r="A18" s="1" t="str">
        <v>wk-17</v>
      </c>
      <c r="B18" s="1" t="str">
        <v>wk</v>
      </c>
      <c r="C18" s="1" t="str">
        <v>P3: Depth</v>
      </c>
      <c r="D18" s="1">
        <v>17</v>
      </c>
      <c r="E18" s="1" t="str">
        <v>Week 17 complete</v>
      </c>
      <c r="F18" s="1" t="str">
        <v>Explain why 371 Sum of Two Integers is awkward in Python</v>
      </c>
      <c r="G18" s="1">
        <v>0</v>
      </c>
      <c r="H18" s="1">
        <f>IFERROR(IF(B18="dsa",CHOOSE(G18+1,"Not started","Attempted","Solved with help","Solved unaided"),IF(OR(B18="bq",B18="res",B18="day"),CHOOSE(G18+1,"Not started","Done"),CHOOSE(G18+1,"Not started","In progress","Done"))),"invalid")</f>
      </c>
    </row>
    <row r="19">
      <c r="A19" s="1" t="str">
        <v>wk-18</v>
      </c>
      <c r="B19" s="1" t="str">
        <v>wk</v>
      </c>
      <c r="C19" s="1" t="str">
        <v>P3: Depth</v>
      </c>
      <c r="D19" s="1">
        <v>18</v>
      </c>
      <c r="E19" s="1" t="str">
        <v>Week 18 complete</v>
      </c>
      <c r="F19" s="1" t="str">
        <v>All 12 stories tellable in 2 min, no filler</v>
      </c>
      <c r="G19" s="1">
        <v>0</v>
      </c>
      <c r="H19" s="1">
        <f>IFERROR(IF(B19="dsa",CHOOSE(G19+1,"Not started","Attempted","Solved with help","Solved unaided"),IF(OR(B19="bq",B19="res",B19="day"),CHOOSE(G19+1,"Not started","Done"),CHOOSE(G19+1,"Not started","In progress","Done"))),"invalid")</f>
      </c>
    </row>
    <row r="20">
      <c r="A20" s="1" t="str">
        <v>wk-19</v>
      </c>
      <c r="B20" s="1" t="str">
        <v>wk</v>
      </c>
      <c r="C20" s="1" t="str">
        <v>P3: Depth</v>
      </c>
      <c r="D20" s="1">
        <v>19</v>
      </c>
      <c r="E20" s="1" t="str">
        <v>Week 19 complete</v>
      </c>
      <c r="F20" s="1" t="str">
        <v>ASSESSMENT 3: full 45-min system design mock, timed</v>
      </c>
      <c r="G20" s="1">
        <v>0</v>
      </c>
      <c r="H20" s="1">
        <f>IFERROR(IF(B20="dsa",CHOOSE(G20+1,"Not started","Attempted","Solved with help","Solved unaided"),IF(OR(B20="bq",B20="res",B20="day"),CHOOSE(G20+1,"Not started","Done"),CHOOSE(G20+1,"Not started","In progress","Done"))),"invalid")</f>
      </c>
    </row>
    <row r="21">
      <c r="A21" s="1" t="str">
        <v>wk-20</v>
      </c>
      <c r="B21" s="1" t="str">
        <v>wk</v>
      </c>
      <c r="C21" s="1" t="str">
        <v>P4: Simulation</v>
      </c>
      <c r="D21" s="1">
        <v>20</v>
      </c>
      <c r="E21" s="1" t="str">
        <v>Week 20 complete</v>
      </c>
      <c r="F21" s="1" t="str">
        <v>2 timed coding mocks with a human or an AI interviewer</v>
      </c>
      <c r="G21" s="1">
        <v>0</v>
      </c>
      <c r="H21" s="1">
        <f>IFERROR(IF(B21="dsa",CHOOSE(G21+1,"Not started","Attempted","Solved with help","Solved unaided"),IF(OR(B21="bq",B21="res",B21="day"),CHOOSE(G21+1,"Not started","Done"),CHOOSE(G21+1,"Not started","In progress","Done"))),"invalid")</f>
      </c>
    </row>
    <row r="22">
      <c r="A22" s="1" t="str">
        <v>wk-21</v>
      </c>
      <c r="B22" s="1" t="str">
        <v>wk</v>
      </c>
      <c r="C22" s="1" t="str">
        <v>P4: Simulation</v>
      </c>
      <c r="D22" s="1">
        <v>21</v>
      </c>
      <c r="E22" s="1" t="str">
        <v>Week 21 complete</v>
      </c>
      <c r="F22" s="1" t="str">
        <v>2 timed system design mocks</v>
      </c>
      <c r="G22" s="1">
        <v>0</v>
      </c>
      <c r="H22" s="1">
        <f>IFERROR(IF(B22="dsa",CHOOSE(G22+1,"Not started","Attempted","Solved with help","Solved unaided"),IF(OR(B22="bq",B22="res",B22="day"),CHOOSE(G22+1,"Not started","Done"),CHOOSE(G22+1,"Not started","In progress","Done"))),"invalid")</f>
      </c>
    </row>
    <row r="23">
      <c r="A23" s="1" t="str">
        <v>wk-22</v>
      </c>
      <c r="B23" s="1" t="str">
        <v>wk</v>
      </c>
      <c r="C23" s="1" t="str">
        <v>P4: Simulation</v>
      </c>
      <c r="D23" s="1">
        <v>22</v>
      </c>
      <c r="E23" s="1" t="str">
        <v>Week 22 complete</v>
      </c>
      <c r="F23" s="1" t="str">
        <v>Complete a 4-hour simulated onsite in one sitting</v>
      </c>
      <c r="G23" s="1">
        <v>0</v>
      </c>
      <c r="H23" s="1">
        <f>IFERROR(IF(B23="dsa",CHOOSE(G23+1,"Not started","Attempted","Solved with help","Solved unaided"),IF(OR(B23="bq",B23="res",B23="day"),CHOOSE(G23+1,"Not started","Done"),CHOOSE(G23+1,"Not started","In progress","Done"))),"invalid")</f>
      </c>
    </row>
    <row r="24">
      <c r="A24" s="1" t="str">
        <v>wk-23</v>
      </c>
      <c r="B24" s="1" t="str">
        <v>wk</v>
      </c>
      <c r="C24" s="1" t="str">
        <v>P4: Simulation</v>
      </c>
      <c r="D24" s="1">
        <v>23</v>
      </c>
      <c r="E24" s="1" t="str">
        <v>Week 23 complete</v>
      </c>
      <c r="F24" s="1" t="str">
        <v>READY: all trackers &gt;85%; then contact recruiter</v>
      </c>
      <c r="G24" s="1">
        <v>0</v>
      </c>
      <c r="H24" s="1">
        <f>IFERROR(IF(B24="dsa",CHOOSE(G24+1,"Not started","Attempted","Solved with help","Solved unaided"),IF(OR(B24="bq",B24="res",B24="day"),CHOOSE(G24+1,"Not started","Done"),CHOOSE(G24+1,"Not started","In progress","Done"))),"invalid")</f>
      </c>
    </row>
    <row r="25">
      <c r="A25" s="1" t="str">
        <v>day-1-1</v>
      </c>
      <c r="B25" s="1" t="str">
        <v>day</v>
      </c>
      <c r="C25" s="1" t="str">
        <v>Week 1</v>
      </c>
      <c r="D25" s="1">
        <v>1</v>
      </c>
      <c r="E25" s="1" t="str">
        <v>Week 1 weekday (day 1)</v>
      </c>
      <c r="F25" s="1" t="str">
        <v>3.0h planned — Python migration items (60 min) | Rewrite a rep problem in idiomatic Python (60 min) | Read Fluent Python or Real Python (30 min)</v>
      </c>
      <c r="G25" s="1">
        <v>0</v>
      </c>
      <c r="H25" s="1">
        <f>IFERROR(IF(B25="dsa",CHOOSE(G25+1,"Not started","Attempted","Solved with help","Solved unaided"),IF(OR(B25="bq",B25="res",B25="day"),CHOOSE(G25+1,"Not started","Done"),CHOOSE(G25+1,"Not started","In progress","Done"))),"invalid")</f>
      </c>
    </row>
    <row r="26">
      <c r="A26" s="1" t="str">
        <v>day-1-2</v>
      </c>
      <c r="B26" s="1" t="str">
        <v>day</v>
      </c>
      <c r="C26" s="1" t="str">
        <v>Week 1</v>
      </c>
      <c r="D26" s="1">
        <v>1</v>
      </c>
      <c r="E26" s="1" t="str">
        <v>Week 1 weekday (day 2)</v>
      </c>
      <c r="F26" s="1" t="str">
        <v>3.0h planned — Python migration items (60 min) | Rewrite a rep problem in idiomatic Python (60 min) | Read Fluent Python or Real Python (30 min)</v>
      </c>
      <c r="G26" s="1">
        <v>0</v>
      </c>
      <c r="H26" s="1">
        <f>IFERROR(IF(B26="dsa",CHOOSE(G26+1,"Not started","Attempted","Solved with help","Solved unaided"),IF(OR(B26="bq",B26="res",B26="day"),CHOOSE(G26+1,"Not started","Done"),CHOOSE(G26+1,"Not started","In progress","Done"))),"invalid")</f>
      </c>
    </row>
    <row r="27">
      <c r="A27" s="1" t="str">
        <v>day-1-3</v>
      </c>
      <c r="B27" s="1" t="str">
        <v>day</v>
      </c>
      <c r="C27" s="1" t="str">
        <v>Week 1</v>
      </c>
      <c r="D27" s="1">
        <v>1</v>
      </c>
      <c r="E27" s="1" t="str">
        <v>Week 1 weekday (day 3)</v>
      </c>
      <c r="F27" s="1" t="str">
        <v>3.0h planned — Python migration items (60 min) | Rewrite a rep problem in idiomatic Python (60 min) | Read Fluent Python or Real Python (30 min)</v>
      </c>
      <c r="G27" s="1">
        <v>0</v>
      </c>
      <c r="H27" s="1">
        <f>IFERROR(IF(B27="dsa",CHOOSE(G27+1,"Not started","Attempted","Solved with help","Solved unaided"),IF(OR(B27="bq",B27="res",B27="day"),CHOOSE(G27+1,"Not started","Done"),CHOOSE(G27+1,"Not started","In progress","Done"))),"invalid")</f>
      </c>
    </row>
    <row r="28">
      <c r="A28" s="1" t="str">
        <v>day-1-4</v>
      </c>
      <c r="B28" s="1" t="str">
        <v>day</v>
      </c>
      <c r="C28" s="1" t="str">
        <v>Week 1</v>
      </c>
      <c r="D28" s="1">
        <v>1</v>
      </c>
      <c r="E28" s="1" t="str">
        <v>Week 1 weekday (day 4)</v>
      </c>
      <c r="F28" s="1" t="str">
        <v>3.0h planned — Python migration items (60 min) | Rewrite a rep problem in idiomatic Python (60 min) | Read Fluent Python or Real Python (30 min)</v>
      </c>
      <c r="G28" s="1">
        <v>0</v>
      </c>
      <c r="H28" s="1">
        <f>IFERROR(IF(B28="dsa",CHOOSE(G28+1,"Not started","Attempted","Solved with help","Solved unaided"),IF(OR(B28="bq",B28="res",B28="day"),CHOOSE(G28+1,"Not started","Done"),CHOOSE(G28+1,"Not started","In progress","Done"))),"invalid")</f>
      </c>
    </row>
    <row r="29">
      <c r="A29" s="1" t="str">
        <v>day-1-5</v>
      </c>
      <c r="B29" s="1" t="str">
        <v>day</v>
      </c>
      <c r="C29" s="1" t="str">
        <v>Week 1</v>
      </c>
      <c r="D29" s="1">
        <v>1</v>
      </c>
      <c r="E29" s="1" t="str">
        <v>Week 1 weekday (day 5)</v>
      </c>
      <c r="F29" s="1" t="str">
        <v>3.0h planned — Python migration items (60 min) | Rewrite a rep problem in idiomatic Python (60 min) | Read Fluent Python or Real Python (30 min)</v>
      </c>
      <c r="G29" s="1">
        <v>0</v>
      </c>
      <c r="H29" s="1">
        <f>IFERROR(IF(B29="dsa",CHOOSE(G29+1,"Not started","Attempted","Solved with help","Solved unaided"),IF(OR(B29="bq",B29="res",B29="day"),CHOOSE(G29+1,"Not started","Done"),CHOOSE(G29+1,"Not started","In progress","Done"))),"invalid")</f>
      </c>
    </row>
    <row r="30">
      <c r="A30" s="1" t="str">
        <v>day-1-6</v>
      </c>
      <c r="B30" s="1" t="str">
        <v>day</v>
      </c>
      <c r="C30" s="1" t="str">
        <v>Week 1</v>
      </c>
      <c r="D30" s="1">
        <v>1</v>
      </c>
      <c r="E30" s="1" t="str">
        <v>Week 1 saturday (day 6)</v>
      </c>
      <c r="F30" s="1" t="str">
        <v>3.5h planned — Rewrite 3 reps from memory, timed (90 min) | Python OOP exercise (60 min) | STAR story work (30 min)</v>
      </c>
      <c r="G30" s="1">
        <v>0</v>
      </c>
      <c r="H30" s="1">
        <f>IFERROR(IF(B30="dsa",CHOOSE(G30+1,"Not started","Attempted","Solved with help","Solved unaided"),IF(OR(B30="bq",B30="res",B30="day"),CHOOSE(G30+1,"Not started","Done"),CHOOSE(G30+1,"Not started","In progress","Done"))),"invalid")</f>
      </c>
    </row>
    <row r="31">
      <c r="A31" s="1" t="str">
        <v>day-1-7</v>
      </c>
      <c r="B31" s="1" t="str">
        <v>day</v>
      </c>
      <c r="C31" s="1" t="str">
        <v>Week 1</v>
      </c>
      <c r="D31" s="1">
        <v>1</v>
      </c>
      <c r="E31" s="1" t="str">
        <v>Week 1 sunday (day 7)</v>
      </c>
      <c r="F31" s="1" t="str">
        <v>2.0h planned — Re-solve 3 reps without looking (60 min) | Week review and plan next week (30 min) | Light reading (30 min)</v>
      </c>
      <c r="G31" s="1">
        <v>0</v>
      </c>
      <c r="H31" s="1">
        <f>IFERROR(IF(B31="dsa",CHOOSE(G31+1,"Not started","Attempted","Solved with help","Solved unaided"),IF(OR(B31="bq",B31="res",B31="day"),CHOOSE(G31+1,"Not started","Done"),CHOOSE(G31+1,"Not started","In progress","Done"))),"invalid")</f>
      </c>
    </row>
    <row r="32">
      <c r="A32" s="1" t="str">
        <v>day-2-1</v>
      </c>
      <c r="B32" s="1" t="str">
        <v>day</v>
      </c>
      <c r="C32" s="1" t="str">
        <v>Week 2</v>
      </c>
      <c r="D32" s="1">
        <v>2</v>
      </c>
      <c r="E32" s="1" t="str">
        <v>Week 2 weekday (day 1)</v>
      </c>
      <c r="F32" s="1" t="str">
        <v>3.0h planned — Python migration items (60 min) | Rewrite a rep problem in idiomatic Python (60 min) | Read Fluent Python or Real Python (30 min)</v>
      </c>
      <c r="G32" s="1">
        <v>0</v>
      </c>
      <c r="H32" s="1">
        <f>IFERROR(IF(B32="dsa",CHOOSE(G32+1,"Not started","Attempted","Solved with help","Solved unaided"),IF(OR(B32="bq",B32="res",B32="day"),CHOOSE(G32+1,"Not started","Done"),CHOOSE(G32+1,"Not started","In progress","Done"))),"invalid")</f>
      </c>
    </row>
    <row r="33">
      <c r="A33" s="1" t="str">
        <v>day-2-2</v>
      </c>
      <c r="B33" s="1" t="str">
        <v>day</v>
      </c>
      <c r="C33" s="1" t="str">
        <v>Week 2</v>
      </c>
      <c r="D33" s="1">
        <v>2</v>
      </c>
      <c r="E33" s="1" t="str">
        <v>Week 2 weekday (day 2)</v>
      </c>
      <c r="F33" s="1" t="str">
        <v>3.0h planned — Python migration items (60 min) | Rewrite a rep problem in idiomatic Python (60 min) | Read Fluent Python or Real Python (30 min)</v>
      </c>
      <c r="G33" s="1">
        <v>0</v>
      </c>
      <c r="H33" s="1">
        <f>IFERROR(IF(B33="dsa",CHOOSE(G33+1,"Not started","Attempted","Solved with help","Solved unaided"),IF(OR(B33="bq",B33="res",B33="day"),CHOOSE(G33+1,"Not started","Done"),CHOOSE(G33+1,"Not started","In progress","Done"))),"invalid")</f>
      </c>
    </row>
    <row r="34">
      <c r="A34" s="1" t="str">
        <v>day-2-3</v>
      </c>
      <c r="B34" s="1" t="str">
        <v>day</v>
      </c>
      <c r="C34" s="1" t="str">
        <v>Week 2</v>
      </c>
      <c r="D34" s="1">
        <v>2</v>
      </c>
      <c r="E34" s="1" t="str">
        <v>Week 2 weekday (day 3)</v>
      </c>
      <c r="F34" s="1" t="str">
        <v>3.0h planned — Python migration items (60 min) | Rewrite a rep problem in idiomatic Python (60 min) | Read Fluent Python or Real Python (30 min)</v>
      </c>
      <c r="G34" s="1">
        <v>0</v>
      </c>
      <c r="H34" s="1">
        <f>IFERROR(IF(B34="dsa",CHOOSE(G34+1,"Not started","Attempted","Solved with help","Solved unaided"),IF(OR(B34="bq",B34="res",B34="day"),CHOOSE(G34+1,"Not started","Done"),CHOOSE(G34+1,"Not started","In progress","Done"))),"invalid")</f>
      </c>
    </row>
    <row r="35">
      <c r="A35" s="1" t="str">
        <v>day-2-4</v>
      </c>
      <c r="B35" s="1" t="str">
        <v>day</v>
      </c>
      <c r="C35" s="1" t="str">
        <v>Week 2</v>
      </c>
      <c r="D35" s="1">
        <v>2</v>
      </c>
      <c r="E35" s="1" t="str">
        <v>Week 2 weekday (day 4)</v>
      </c>
      <c r="F35" s="1" t="str">
        <v>3.0h planned — Python migration items (60 min) | Rewrite a rep problem in idiomatic Python (60 min) | Read Fluent Python or Real Python (30 min)</v>
      </c>
      <c r="G35" s="1">
        <v>0</v>
      </c>
      <c r="H35" s="1">
        <f>IFERROR(IF(B35="dsa",CHOOSE(G35+1,"Not started","Attempted","Solved with help","Solved unaided"),IF(OR(B35="bq",B35="res",B35="day"),CHOOSE(G35+1,"Not started","Done"),CHOOSE(G35+1,"Not started","In progress","Done"))),"invalid")</f>
      </c>
    </row>
    <row r="36">
      <c r="A36" s="1" t="str">
        <v>day-2-5</v>
      </c>
      <c r="B36" s="1" t="str">
        <v>day</v>
      </c>
      <c r="C36" s="1" t="str">
        <v>Week 2</v>
      </c>
      <c r="D36" s="1">
        <v>2</v>
      </c>
      <c r="E36" s="1" t="str">
        <v>Week 2 weekday (day 5)</v>
      </c>
      <c r="F36" s="1" t="str">
        <v>3.0h planned — Python migration items (60 min) | Rewrite a rep problem in idiomatic Python (60 min) | Read Fluent Python or Real Python (30 min)</v>
      </c>
      <c r="G36" s="1">
        <v>0</v>
      </c>
      <c r="H36" s="1">
        <f>IFERROR(IF(B36="dsa",CHOOSE(G36+1,"Not started","Attempted","Solved with help","Solved unaided"),IF(OR(B36="bq",B36="res",B36="day"),CHOOSE(G36+1,"Not started","Done"),CHOOSE(G36+1,"Not started","In progress","Done"))),"invalid")</f>
      </c>
    </row>
    <row r="37">
      <c r="A37" s="1" t="str">
        <v>day-2-6</v>
      </c>
      <c r="B37" s="1" t="str">
        <v>day</v>
      </c>
      <c r="C37" s="1" t="str">
        <v>Week 2</v>
      </c>
      <c r="D37" s="1">
        <v>2</v>
      </c>
      <c r="E37" s="1" t="str">
        <v>Week 2 saturday (day 6)</v>
      </c>
      <c r="F37" s="1" t="str">
        <v>3.5h planned — Rewrite 3 reps from memory, timed (90 min) | Python OOP exercise (60 min) | STAR story work (30 min)</v>
      </c>
      <c r="G37" s="1">
        <v>0</v>
      </c>
      <c r="H37" s="1">
        <f>IFERROR(IF(B37="dsa",CHOOSE(G37+1,"Not started","Attempted","Solved with help","Solved unaided"),IF(OR(B37="bq",B37="res",B37="day"),CHOOSE(G37+1,"Not started","Done"),CHOOSE(G37+1,"Not started","In progress","Done"))),"invalid")</f>
      </c>
    </row>
    <row r="38">
      <c r="A38" s="1" t="str">
        <v>day-2-7</v>
      </c>
      <c r="B38" s="1" t="str">
        <v>day</v>
      </c>
      <c r="C38" s="1" t="str">
        <v>Week 2</v>
      </c>
      <c r="D38" s="1">
        <v>2</v>
      </c>
      <c r="E38" s="1" t="str">
        <v>Week 2 sunday (day 7)</v>
      </c>
      <c r="F38" s="1" t="str">
        <v>2.0h planned — Re-solve 3 reps without looking (60 min) | Week review and plan next week (30 min) | Light reading (30 min)</v>
      </c>
      <c r="G38" s="1">
        <v>0</v>
      </c>
      <c r="H38" s="1">
        <f>IFERROR(IF(B38="dsa",CHOOSE(G38+1,"Not started","Attempted","Solved with help","Solved unaided"),IF(OR(B38="bq",B38="res",B38="day"),CHOOSE(G38+1,"Not started","Done"),CHOOSE(G38+1,"Not started","In progress","Done"))),"invalid")</f>
      </c>
    </row>
    <row r="39">
      <c r="A39" s="1" t="str">
        <v>day-3-1</v>
      </c>
      <c r="B39" s="1" t="str">
        <v>day</v>
      </c>
      <c r="C39" s="1" t="str">
        <v>Week 3</v>
      </c>
      <c r="D39" s="1">
        <v>3</v>
      </c>
      <c r="E39" s="1" t="str">
        <v>Week 3 weekday (day 1)</v>
      </c>
      <c r="F39" s="1" t="str">
        <v>3.0h planned — Python migration items (60 min) | Rewrite a rep problem in idiomatic Python (60 min) | Read Fluent Python or Real Python (30 min)</v>
      </c>
      <c r="G39" s="1">
        <v>0</v>
      </c>
      <c r="H39" s="1">
        <f>IFERROR(IF(B39="dsa",CHOOSE(G39+1,"Not started","Attempted","Solved with help","Solved unaided"),IF(OR(B39="bq",B39="res",B39="day"),CHOOSE(G39+1,"Not started","Done"),CHOOSE(G39+1,"Not started","In progress","Done"))),"invalid")</f>
      </c>
    </row>
    <row r="40">
      <c r="A40" s="1" t="str">
        <v>day-3-2</v>
      </c>
      <c r="B40" s="1" t="str">
        <v>day</v>
      </c>
      <c r="C40" s="1" t="str">
        <v>Week 3</v>
      </c>
      <c r="D40" s="1">
        <v>3</v>
      </c>
      <c r="E40" s="1" t="str">
        <v>Week 3 weekday (day 2)</v>
      </c>
      <c r="F40" s="1" t="str">
        <v>3.0h planned — Python migration items (60 min) | Rewrite a rep problem in idiomatic Python (60 min) | Read Fluent Python or Real Python (30 min)</v>
      </c>
      <c r="G40" s="1">
        <v>0</v>
      </c>
      <c r="H40" s="1">
        <f>IFERROR(IF(B40="dsa",CHOOSE(G40+1,"Not started","Attempted","Solved with help","Solved unaided"),IF(OR(B40="bq",B40="res",B40="day"),CHOOSE(G40+1,"Not started","Done"),CHOOSE(G40+1,"Not started","In progress","Done"))),"invalid")</f>
      </c>
    </row>
    <row r="41">
      <c r="A41" s="1" t="str">
        <v>day-3-3</v>
      </c>
      <c r="B41" s="1" t="str">
        <v>day</v>
      </c>
      <c r="C41" s="1" t="str">
        <v>Week 3</v>
      </c>
      <c r="D41" s="1">
        <v>3</v>
      </c>
      <c r="E41" s="1" t="str">
        <v>Week 3 weekday (day 3)</v>
      </c>
      <c r="F41" s="1" t="str">
        <v>3.0h planned — Python migration items (60 min) | Rewrite a rep problem in idiomatic Python (60 min) | Read Fluent Python or Real Python (30 min)</v>
      </c>
      <c r="G41" s="1">
        <v>0</v>
      </c>
      <c r="H41" s="1">
        <f>IFERROR(IF(B41="dsa",CHOOSE(G41+1,"Not started","Attempted","Solved with help","Solved unaided"),IF(OR(B41="bq",B41="res",B41="day"),CHOOSE(G41+1,"Not started","Done"),CHOOSE(G41+1,"Not started","In progress","Done"))),"invalid")</f>
      </c>
    </row>
    <row r="42">
      <c r="A42" s="1" t="str">
        <v>day-3-4</v>
      </c>
      <c r="B42" s="1" t="str">
        <v>day</v>
      </c>
      <c r="C42" s="1" t="str">
        <v>Week 3</v>
      </c>
      <c r="D42" s="1">
        <v>3</v>
      </c>
      <c r="E42" s="1" t="str">
        <v>Week 3 weekday (day 4)</v>
      </c>
      <c r="F42" s="1" t="str">
        <v>3.0h planned — Python migration items (60 min) | Rewrite a rep problem in idiomatic Python (60 min) | Read Fluent Python or Real Python (30 min)</v>
      </c>
      <c r="G42" s="1">
        <v>0</v>
      </c>
      <c r="H42" s="1">
        <f>IFERROR(IF(B42="dsa",CHOOSE(G42+1,"Not started","Attempted","Solved with help","Solved unaided"),IF(OR(B42="bq",B42="res",B42="day"),CHOOSE(G42+1,"Not started","Done"),CHOOSE(G42+1,"Not started","In progress","Done"))),"invalid")</f>
      </c>
    </row>
    <row r="43">
      <c r="A43" s="1" t="str">
        <v>day-3-5</v>
      </c>
      <c r="B43" s="1" t="str">
        <v>day</v>
      </c>
      <c r="C43" s="1" t="str">
        <v>Week 3</v>
      </c>
      <c r="D43" s="1">
        <v>3</v>
      </c>
      <c r="E43" s="1" t="str">
        <v>Week 3 weekday (day 5)</v>
      </c>
      <c r="F43" s="1" t="str">
        <v>3.0h planned — Python migration items (60 min) | Rewrite a rep problem in idiomatic Python (60 min) | Read Fluent Python or Real Python (30 min)</v>
      </c>
      <c r="G43" s="1">
        <v>0</v>
      </c>
      <c r="H43" s="1">
        <f>IFERROR(IF(B43="dsa",CHOOSE(G43+1,"Not started","Attempted","Solved with help","Solved unaided"),IF(OR(B43="bq",B43="res",B43="day"),CHOOSE(G43+1,"Not started","Done"),CHOOSE(G43+1,"Not started","In progress","Done"))),"invalid")</f>
      </c>
    </row>
    <row r="44">
      <c r="A44" s="1" t="str">
        <v>day-3-6</v>
      </c>
      <c r="B44" s="1" t="str">
        <v>day</v>
      </c>
      <c r="C44" s="1" t="str">
        <v>Week 3</v>
      </c>
      <c r="D44" s="1">
        <v>3</v>
      </c>
      <c r="E44" s="1" t="str">
        <v>Week 3 saturday (day 6)</v>
      </c>
      <c r="F44" s="1" t="str">
        <v>3.5h planned — Rewrite 3 reps from memory, timed (90 min) | Python OOP exercise (60 min) | STAR story work (30 min)</v>
      </c>
      <c r="G44" s="1">
        <v>0</v>
      </c>
      <c r="H44" s="1">
        <f>IFERROR(IF(B44="dsa",CHOOSE(G44+1,"Not started","Attempted","Solved with help","Solved unaided"),IF(OR(B44="bq",B44="res",B44="day"),CHOOSE(G44+1,"Not started","Done"),CHOOSE(G44+1,"Not started","In progress","Done"))),"invalid")</f>
      </c>
    </row>
    <row r="45">
      <c r="A45" s="1" t="str">
        <v>day-3-7</v>
      </c>
      <c r="B45" s="1" t="str">
        <v>day</v>
      </c>
      <c r="C45" s="1" t="str">
        <v>Week 3</v>
      </c>
      <c r="D45" s="1">
        <v>3</v>
      </c>
      <c r="E45" s="1" t="str">
        <v>Week 3 sunday (day 7)</v>
      </c>
      <c r="F45" s="1" t="str">
        <v>2.0h planned — Re-solve 3 reps without looking (60 min) | Week review and plan next week (30 min) | Light reading (30 min)</v>
      </c>
      <c r="G45" s="1">
        <v>0</v>
      </c>
      <c r="H45" s="1">
        <f>IFERROR(IF(B45="dsa",CHOOSE(G45+1,"Not started","Attempted","Solved with help","Solved unaided"),IF(OR(B45="bq",B45="res",B45="day"),CHOOSE(G45+1,"Not started","Done"),CHOOSE(G45+1,"Not started","In progress","Done"))),"invalid")</f>
      </c>
    </row>
    <row r="46">
      <c r="A46" s="1" t="str">
        <v>day-4-1</v>
      </c>
      <c r="B46" s="1" t="str">
        <v>day</v>
      </c>
      <c r="C46" s="1" t="str">
        <v>Week 4</v>
      </c>
      <c r="D46" s="1">
        <v>4</v>
      </c>
      <c r="E46" s="1" t="str">
        <v>Week 4 weekday (day 1)</v>
      </c>
      <c r="F46" s="1" t="str">
        <v>3.0h planned — DSA practice (90 min) | System design or LLD (45 min) | Python drills or STAR writing (30 min)</v>
      </c>
      <c r="G46" s="1">
        <v>0</v>
      </c>
      <c r="H46" s="1">
        <f>IFERROR(IF(B46="dsa",CHOOSE(G46+1,"Not started","Attempted","Solved with help","Solved unaided"),IF(OR(B46="bq",B46="res",B46="day"),CHOOSE(G46+1,"Not started","Done"),CHOOSE(G46+1,"Not started","In progress","Done"))),"invalid")</f>
      </c>
    </row>
    <row r="47">
      <c r="A47" s="1" t="str">
        <v>day-4-2</v>
      </c>
      <c r="B47" s="1" t="str">
        <v>day</v>
      </c>
      <c r="C47" s="1" t="str">
        <v>Week 4</v>
      </c>
      <c r="D47" s="1">
        <v>4</v>
      </c>
      <c r="E47" s="1" t="str">
        <v>Week 4 weekday (day 2)</v>
      </c>
      <c r="F47" s="1" t="str">
        <v>3.0h planned — DSA practice (90 min) | System design or LLD (45 min) | Python drills or STAR writing (30 min)</v>
      </c>
      <c r="G47" s="1">
        <v>0</v>
      </c>
      <c r="H47" s="1">
        <f>IFERROR(IF(B47="dsa",CHOOSE(G47+1,"Not started","Attempted","Solved with help","Solved unaided"),IF(OR(B47="bq",B47="res",B47="day"),CHOOSE(G47+1,"Not started","Done"),CHOOSE(G47+1,"Not started","In progress","Done"))),"invalid")</f>
      </c>
    </row>
    <row r="48">
      <c r="A48" s="1" t="str">
        <v>day-4-3</v>
      </c>
      <c r="B48" s="1" t="str">
        <v>day</v>
      </c>
      <c r="C48" s="1" t="str">
        <v>Week 4</v>
      </c>
      <c r="D48" s="1">
        <v>4</v>
      </c>
      <c r="E48" s="1" t="str">
        <v>Week 4 weekday (day 3)</v>
      </c>
      <c r="F48" s="1" t="str">
        <v>3.0h planned — DSA practice (90 min) | System design or LLD (45 min) | Python drills or STAR writing (30 min)</v>
      </c>
      <c r="G48" s="1">
        <v>0</v>
      </c>
      <c r="H48" s="1">
        <f>IFERROR(IF(B48="dsa",CHOOSE(G48+1,"Not started","Attempted","Solved with help","Solved unaided"),IF(OR(B48="bq",B48="res",B48="day"),CHOOSE(G48+1,"Not started","Done"),CHOOSE(G48+1,"Not started","In progress","Done"))),"invalid")</f>
      </c>
    </row>
    <row r="49">
      <c r="A49" s="1" t="str">
        <v>day-4-4</v>
      </c>
      <c r="B49" s="1" t="str">
        <v>day</v>
      </c>
      <c r="C49" s="1" t="str">
        <v>Week 4</v>
      </c>
      <c r="D49" s="1">
        <v>4</v>
      </c>
      <c r="E49" s="1" t="str">
        <v>Week 4 weekday (day 4)</v>
      </c>
      <c r="F49" s="1" t="str">
        <v>3.0h planned — DSA practice (90 min) | System design or LLD (45 min) | Python drills or STAR writing (30 min)</v>
      </c>
      <c r="G49" s="1">
        <v>0</v>
      </c>
      <c r="H49" s="1">
        <f>IFERROR(IF(B49="dsa",CHOOSE(G49+1,"Not started","Attempted","Solved with help","Solved unaided"),IF(OR(B49="bq",B49="res",B49="day"),CHOOSE(G49+1,"Not started","Done"),CHOOSE(G49+1,"Not started","In progress","Done"))),"invalid")</f>
      </c>
    </row>
    <row r="50">
      <c r="A50" s="1" t="str">
        <v>day-4-5</v>
      </c>
      <c r="B50" s="1" t="str">
        <v>day</v>
      </c>
      <c r="C50" s="1" t="str">
        <v>Week 4</v>
      </c>
      <c r="D50" s="1">
        <v>4</v>
      </c>
      <c r="E50" s="1" t="str">
        <v>Week 4 weekday (day 5)</v>
      </c>
      <c r="F50" s="1" t="str">
        <v>3.0h planned — DSA practice (90 min) | System design or LLD (45 min) | Python drills or STAR writing (30 min)</v>
      </c>
      <c r="G50" s="1">
        <v>0</v>
      </c>
      <c r="H50" s="1">
        <f>IFERROR(IF(B50="dsa",CHOOSE(G50+1,"Not started","Attempted","Solved with help","Solved unaided"),IF(OR(B50="bq",B50="res",B50="day"),CHOOSE(G50+1,"Not started","Done"),CHOOSE(G50+1,"Not started","In progress","Done"))),"invalid")</f>
      </c>
    </row>
    <row r="51">
      <c r="A51" s="1" t="str">
        <v>day-4-6</v>
      </c>
      <c r="B51" s="1" t="str">
        <v>day</v>
      </c>
      <c r="C51" s="1" t="str">
        <v>Week 4</v>
      </c>
      <c r="D51" s="1">
        <v>4</v>
      </c>
      <c r="E51" s="1" t="str">
        <v>Week 4 saturday (day 6)</v>
      </c>
      <c r="F51" s="1" t="str">
        <v>3.5h planned — Timed mock in a Google Doc, no IDE (90 min) | System design case study write-up (60 min) | Record and review one STAR story (30 min)</v>
      </c>
      <c r="G51" s="1">
        <v>0</v>
      </c>
      <c r="H51" s="1">
        <f>IFERROR(IF(B51="dsa",CHOOSE(G51+1,"Not started","Attempted","Solved with help","Solved unaided"),IF(OR(B51="bq",B51="res",B51="day"),CHOOSE(G51+1,"Not started","Done"),CHOOSE(G51+1,"Not started","In progress","Done"))),"invalid")</f>
      </c>
    </row>
    <row r="52">
      <c r="A52" s="1" t="str">
        <v>day-4-7</v>
      </c>
      <c r="B52" s="1" t="str">
        <v>day</v>
      </c>
      <c r="C52" s="1" t="str">
        <v>Week 4</v>
      </c>
      <c r="D52" s="1">
        <v>4</v>
      </c>
      <c r="E52" s="1" t="str">
        <v>Week 4 sunday (day 7)</v>
      </c>
      <c r="F52" s="1" t="str">
        <v>2.0h planned — Spaced repetition: re-solve 3 things you failed (60 min) | Week review and plan next week (30 min) | Light reading: DDIA or Fluent Python (30 min)</v>
      </c>
      <c r="G52" s="1">
        <v>0</v>
      </c>
      <c r="H52" s="1">
        <f>IFERROR(IF(B52="dsa",CHOOSE(G52+1,"Not started","Attempted","Solved with help","Solved unaided"),IF(OR(B52="bq",B52="res",B52="day"),CHOOSE(G52+1,"Not started","Done"),CHOOSE(G52+1,"Not started","In progress","Done"))),"invalid")</f>
      </c>
    </row>
    <row r="53">
      <c r="A53" s="1" t="str">
        <v>day-5-1</v>
      </c>
      <c r="B53" s="1" t="str">
        <v>day</v>
      </c>
      <c r="C53" s="1" t="str">
        <v>Week 5</v>
      </c>
      <c r="D53" s="1">
        <v>5</v>
      </c>
      <c r="E53" s="1" t="str">
        <v>Week 5 weekday (day 1)</v>
      </c>
      <c r="F53" s="1" t="str">
        <v>3.0h planned — DSA practice (90 min) | System design or LLD (45 min) | Python drills or STAR writing (30 min)</v>
      </c>
      <c r="G53" s="1">
        <v>0</v>
      </c>
      <c r="H53" s="1">
        <f>IFERROR(IF(B53="dsa",CHOOSE(G53+1,"Not started","Attempted","Solved with help","Solved unaided"),IF(OR(B53="bq",B53="res",B53="day"),CHOOSE(G53+1,"Not started","Done"),CHOOSE(G53+1,"Not started","In progress","Done"))),"invalid")</f>
      </c>
    </row>
    <row r="54">
      <c r="A54" s="1" t="str">
        <v>day-5-2</v>
      </c>
      <c r="B54" s="1" t="str">
        <v>day</v>
      </c>
      <c r="C54" s="1" t="str">
        <v>Week 5</v>
      </c>
      <c r="D54" s="1">
        <v>5</v>
      </c>
      <c r="E54" s="1" t="str">
        <v>Week 5 weekday (day 2)</v>
      </c>
      <c r="F54" s="1" t="str">
        <v>3.0h planned — DSA practice (90 min) | System design or LLD (45 min) | Python drills or STAR writing (30 min)</v>
      </c>
      <c r="G54" s="1">
        <v>0</v>
      </c>
      <c r="H54" s="1">
        <f>IFERROR(IF(B54="dsa",CHOOSE(G54+1,"Not started","Attempted","Solved with help","Solved unaided"),IF(OR(B54="bq",B54="res",B54="day"),CHOOSE(G54+1,"Not started","Done"),CHOOSE(G54+1,"Not started","In progress","Done"))),"invalid")</f>
      </c>
    </row>
    <row r="55">
      <c r="A55" s="1" t="str">
        <v>day-5-3</v>
      </c>
      <c r="B55" s="1" t="str">
        <v>day</v>
      </c>
      <c r="C55" s="1" t="str">
        <v>Week 5</v>
      </c>
      <c r="D55" s="1">
        <v>5</v>
      </c>
      <c r="E55" s="1" t="str">
        <v>Week 5 weekday (day 3)</v>
      </c>
      <c r="F55" s="1" t="str">
        <v>3.0h planned — DSA practice (90 min) | System design or LLD (45 min) | Python drills or STAR writing (30 min)</v>
      </c>
      <c r="G55" s="1">
        <v>0</v>
      </c>
      <c r="H55" s="1">
        <f>IFERROR(IF(B55="dsa",CHOOSE(G55+1,"Not started","Attempted","Solved with help","Solved unaided"),IF(OR(B55="bq",B55="res",B55="day"),CHOOSE(G55+1,"Not started","Done"),CHOOSE(G55+1,"Not started","In progress","Done"))),"invalid")</f>
      </c>
    </row>
    <row r="56">
      <c r="A56" s="1" t="str">
        <v>day-5-4</v>
      </c>
      <c r="B56" s="1" t="str">
        <v>day</v>
      </c>
      <c r="C56" s="1" t="str">
        <v>Week 5</v>
      </c>
      <c r="D56" s="1">
        <v>5</v>
      </c>
      <c r="E56" s="1" t="str">
        <v>Week 5 weekday (day 4)</v>
      </c>
      <c r="F56" s="1" t="str">
        <v>3.0h planned — DSA practice (90 min) | System design or LLD (45 min) | Python drills or STAR writing (30 min)</v>
      </c>
      <c r="G56" s="1">
        <v>0</v>
      </c>
      <c r="H56" s="1">
        <f>IFERROR(IF(B56="dsa",CHOOSE(G56+1,"Not started","Attempted","Solved with help","Solved unaided"),IF(OR(B56="bq",B56="res",B56="day"),CHOOSE(G56+1,"Not started","Done"),CHOOSE(G56+1,"Not started","In progress","Done"))),"invalid")</f>
      </c>
    </row>
    <row r="57">
      <c r="A57" s="1" t="str">
        <v>day-5-5</v>
      </c>
      <c r="B57" s="1" t="str">
        <v>day</v>
      </c>
      <c r="C57" s="1" t="str">
        <v>Week 5</v>
      </c>
      <c r="D57" s="1">
        <v>5</v>
      </c>
      <c r="E57" s="1" t="str">
        <v>Week 5 weekday (day 5)</v>
      </c>
      <c r="F57" s="1" t="str">
        <v>3.0h planned — DSA practice (90 min) | System design or LLD (45 min) | Python drills or STAR writing (30 min)</v>
      </c>
      <c r="G57" s="1">
        <v>0</v>
      </c>
      <c r="H57" s="1">
        <f>IFERROR(IF(B57="dsa",CHOOSE(G57+1,"Not started","Attempted","Solved with help","Solved unaided"),IF(OR(B57="bq",B57="res",B57="day"),CHOOSE(G57+1,"Not started","Done"),CHOOSE(G57+1,"Not started","In progress","Done"))),"invalid")</f>
      </c>
    </row>
    <row r="58">
      <c r="A58" s="1" t="str">
        <v>day-5-6</v>
      </c>
      <c r="B58" s="1" t="str">
        <v>day</v>
      </c>
      <c r="C58" s="1" t="str">
        <v>Week 5</v>
      </c>
      <c r="D58" s="1">
        <v>5</v>
      </c>
      <c r="E58" s="1" t="str">
        <v>Week 5 saturday (day 6)</v>
      </c>
      <c r="F58" s="1" t="str">
        <v>3.5h planned — Timed mock in a Google Doc, no IDE (90 min) | System design case study write-up (60 min) | Record and review one STAR story (30 min)</v>
      </c>
      <c r="G58" s="1">
        <v>0</v>
      </c>
      <c r="H58" s="1">
        <f>IFERROR(IF(B58="dsa",CHOOSE(G58+1,"Not started","Attempted","Solved with help","Solved unaided"),IF(OR(B58="bq",B58="res",B58="day"),CHOOSE(G58+1,"Not started","Done"),CHOOSE(G58+1,"Not started","In progress","Done"))),"invalid")</f>
      </c>
    </row>
    <row r="59">
      <c r="A59" s="1" t="str">
        <v>day-5-7</v>
      </c>
      <c r="B59" s="1" t="str">
        <v>day</v>
      </c>
      <c r="C59" s="1" t="str">
        <v>Week 5</v>
      </c>
      <c r="D59" s="1">
        <v>5</v>
      </c>
      <c r="E59" s="1" t="str">
        <v>Week 5 sunday (day 7)</v>
      </c>
      <c r="F59" s="1" t="str">
        <v>2.0h planned — Spaced repetition: re-solve 3 things you failed (60 min) | Week review and plan next week (30 min) | Light reading: DDIA or Fluent Python (30 min)</v>
      </c>
      <c r="G59" s="1">
        <v>0</v>
      </c>
      <c r="H59" s="1">
        <f>IFERROR(IF(B59="dsa",CHOOSE(G59+1,"Not started","Attempted","Solved with help","Solved unaided"),IF(OR(B59="bq",B59="res",B59="day"),CHOOSE(G59+1,"Not started","Done"),CHOOSE(G59+1,"Not started","In progress","Done"))),"invalid")</f>
      </c>
    </row>
    <row r="60">
      <c r="A60" s="1" t="str">
        <v>day-6-1</v>
      </c>
      <c r="B60" s="1" t="str">
        <v>day</v>
      </c>
      <c r="C60" s="1" t="str">
        <v>Week 6</v>
      </c>
      <c r="D60" s="1">
        <v>6</v>
      </c>
      <c r="E60" s="1" t="str">
        <v>Week 6 weekday (day 1)</v>
      </c>
      <c r="F60" s="1" t="str">
        <v>3.0h planned — DSA practice (90 min) | System design or LLD (45 min) | Python drills or STAR writing (30 min)</v>
      </c>
      <c r="G60" s="1">
        <v>0</v>
      </c>
      <c r="H60" s="1">
        <f>IFERROR(IF(B60="dsa",CHOOSE(G60+1,"Not started","Attempted","Solved with help","Solved unaided"),IF(OR(B60="bq",B60="res",B60="day"),CHOOSE(G60+1,"Not started","Done"),CHOOSE(G60+1,"Not started","In progress","Done"))),"invalid")</f>
      </c>
    </row>
    <row r="61">
      <c r="A61" s="1" t="str">
        <v>day-6-2</v>
      </c>
      <c r="B61" s="1" t="str">
        <v>day</v>
      </c>
      <c r="C61" s="1" t="str">
        <v>Week 6</v>
      </c>
      <c r="D61" s="1">
        <v>6</v>
      </c>
      <c r="E61" s="1" t="str">
        <v>Week 6 weekday (day 2)</v>
      </c>
      <c r="F61" s="1" t="str">
        <v>3.0h planned — DSA practice (90 min) | System design or LLD (45 min) | Python drills or STAR writing (30 min)</v>
      </c>
      <c r="G61" s="1">
        <v>0</v>
      </c>
      <c r="H61" s="1">
        <f>IFERROR(IF(B61="dsa",CHOOSE(G61+1,"Not started","Attempted","Solved with help","Solved unaided"),IF(OR(B61="bq",B61="res",B61="day"),CHOOSE(G61+1,"Not started","Done"),CHOOSE(G61+1,"Not started","In progress","Done"))),"invalid")</f>
      </c>
    </row>
    <row r="62">
      <c r="A62" s="1" t="str">
        <v>day-6-3</v>
      </c>
      <c r="B62" s="1" t="str">
        <v>day</v>
      </c>
      <c r="C62" s="1" t="str">
        <v>Week 6</v>
      </c>
      <c r="D62" s="1">
        <v>6</v>
      </c>
      <c r="E62" s="1" t="str">
        <v>Week 6 weekday (day 3)</v>
      </c>
      <c r="F62" s="1" t="str">
        <v>3.0h planned — DSA practice (90 min) | System design or LLD (45 min) | Python drills or STAR writing (30 min)</v>
      </c>
      <c r="G62" s="1">
        <v>0</v>
      </c>
      <c r="H62" s="1">
        <f>IFERROR(IF(B62="dsa",CHOOSE(G62+1,"Not started","Attempted","Solved with help","Solved unaided"),IF(OR(B62="bq",B62="res",B62="day"),CHOOSE(G62+1,"Not started","Done"),CHOOSE(G62+1,"Not started","In progress","Done"))),"invalid")</f>
      </c>
    </row>
    <row r="63">
      <c r="A63" s="1" t="str">
        <v>day-6-4</v>
      </c>
      <c r="B63" s="1" t="str">
        <v>day</v>
      </c>
      <c r="C63" s="1" t="str">
        <v>Week 6</v>
      </c>
      <c r="D63" s="1">
        <v>6</v>
      </c>
      <c r="E63" s="1" t="str">
        <v>Week 6 weekday (day 4)</v>
      </c>
      <c r="F63" s="1" t="str">
        <v>3.0h planned — DSA practice (90 min) | System design or LLD (45 min) | Python drills or STAR writing (30 min)</v>
      </c>
      <c r="G63" s="1">
        <v>0</v>
      </c>
      <c r="H63" s="1">
        <f>IFERROR(IF(B63="dsa",CHOOSE(G63+1,"Not started","Attempted","Solved with help","Solved unaided"),IF(OR(B63="bq",B63="res",B63="day"),CHOOSE(G63+1,"Not started","Done"),CHOOSE(G63+1,"Not started","In progress","Done"))),"invalid")</f>
      </c>
    </row>
    <row r="64">
      <c r="A64" s="1" t="str">
        <v>day-6-5</v>
      </c>
      <c r="B64" s="1" t="str">
        <v>day</v>
      </c>
      <c r="C64" s="1" t="str">
        <v>Week 6</v>
      </c>
      <c r="D64" s="1">
        <v>6</v>
      </c>
      <c r="E64" s="1" t="str">
        <v>Week 6 weekday (day 5)</v>
      </c>
      <c r="F64" s="1" t="str">
        <v>3.0h planned — DSA practice (90 min) | System design or LLD (45 min) | Python drills or STAR writing (30 min)</v>
      </c>
      <c r="G64" s="1">
        <v>0</v>
      </c>
      <c r="H64" s="1">
        <f>IFERROR(IF(B64="dsa",CHOOSE(G64+1,"Not started","Attempted","Solved with help","Solved unaided"),IF(OR(B64="bq",B64="res",B64="day"),CHOOSE(G64+1,"Not started","Done"),CHOOSE(G64+1,"Not started","In progress","Done"))),"invalid")</f>
      </c>
    </row>
    <row r="65">
      <c r="A65" s="1" t="str">
        <v>day-6-6</v>
      </c>
      <c r="B65" s="1" t="str">
        <v>day</v>
      </c>
      <c r="C65" s="1" t="str">
        <v>Week 6</v>
      </c>
      <c r="D65" s="1">
        <v>6</v>
      </c>
      <c r="E65" s="1" t="str">
        <v>Week 6 saturday (day 6)</v>
      </c>
      <c r="F65" s="1" t="str">
        <v>3.5h planned — Timed mock in a Google Doc, no IDE (90 min) | System design case study write-up (60 min) | Record and review one STAR story (30 min)</v>
      </c>
      <c r="G65" s="1">
        <v>0</v>
      </c>
      <c r="H65" s="1">
        <f>IFERROR(IF(B65="dsa",CHOOSE(G65+1,"Not started","Attempted","Solved with help","Solved unaided"),IF(OR(B65="bq",B65="res",B65="day"),CHOOSE(G65+1,"Not started","Done"),CHOOSE(G65+1,"Not started","In progress","Done"))),"invalid")</f>
      </c>
    </row>
    <row r="66">
      <c r="A66" s="1" t="str">
        <v>day-6-7</v>
      </c>
      <c r="B66" s="1" t="str">
        <v>day</v>
      </c>
      <c r="C66" s="1" t="str">
        <v>Week 6</v>
      </c>
      <c r="D66" s="1">
        <v>6</v>
      </c>
      <c r="E66" s="1" t="str">
        <v>Week 6 sunday (day 7)</v>
      </c>
      <c r="F66" s="1" t="str">
        <v>2.0h planned — Spaced repetition: re-solve 3 things you failed (60 min) | Week review and plan next week (30 min) | Light reading: DDIA or Fluent Python (30 min)</v>
      </c>
      <c r="G66" s="1">
        <v>0</v>
      </c>
      <c r="H66" s="1">
        <f>IFERROR(IF(B66="dsa",CHOOSE(G66+1,"Not started","Attempted","Solved with help","Solved unaided"),IF(OR(B66="bq",B66="res",B66="day"),CHOOSE(G66+1,"Not started","Done"),CHOOSE(G66+1,"Not started","In progress","Done"))),"invalid")</f>
      </c>
    </row>
    <row r="67">
      <c r="A67" s="1" t="str">
        <v>day-7-1</v>
      </c>
      <c r="B67" s="1" t="str">
        <v>day</v>
      </c>
      <c r="C67" s="1" t="str">
        <v>Week 7</v>
      </c>
      <c r="D67" s="1">
        <v>7</v>
      </c>
      <c r="E67" s="1" t="str">
        <v>Week 7 weekday (day 1)</v>
      </c>
      <c r="F67" s="1" t="str">
        <v>3.0h planned — DSA practice (90 min) | System design or LLD (45 min) | Python drills or STAR writing (30 min)</v>
      </c>
      <c r="G67" s="1">
        <v>0</v>
      </c>
      <c r="H67" s="1">
        <f>IFERROR(IF(B67="dsa",CHOOSE(G67+1,"Not started","Attempted","Solved with help","Solved unaided"),IF(OR(B67="bq",B67="res",B67="day"),CHOOSE(G67+1,"Not started","Done"),CHOOSE(G67+1,"Not started","In progress","Done"))),"invalid")</f>
      </c>
    </row>
    <row r="68">
      <c r="A68" s="1" t="str">
        <v>day-7-2</v>
      </c>
      <c r="B68" s="1" t="str">
        <v>day</v>
      </c>
      <c r="C68" s="1" t="str">
        <v>Week 7</v>
      </c>
      <c r="D68" s="1">
        <v>7</v>
      </c>
      <c r="E68" s="1" t="str">
        <v>Week 7 weekday (day 2)</v>
      </c>
      <c r="F68" s="1" t="str">
        <v>3.0h planned — DSA practice (90 min) | System design or LLD (45 min) | Python drills or STAR writing (30 min)</v>
      </c>
      <c r="G68" s="1">
        <v>0</v>
      </c>
      <c r="H68" s="1">
        <f>IFERROR(IF(B68="dsa",CHOOSE(G68+1,"Not started","Attempted","Solved with help","Solved unaided"),IF(OR(B68="bq",B68="res",B68="day"),CHOOSE(G68+1,"Not started","Done"),CHOOSE(G68+1,"Not started","In progress","Done"))),"invalid")</f>
      </c>
    </row>
    <row r="69">
      <c r="A69" s="1" t="str">
        <v>day-7-3</v>
      </c>
      <c r="B69" s="1" t="str">
        <v>day</v>
      </c>
      <c r="C69" s="1" t="str">
        <v>Week 7</v>
      </c>
      <c r="D69" s="1">
        <v>7</v>
      </c>
      <c r="E69" s="1" t="str">
        <v>Week 7 weekday (day 3)</v>
      </c>
      <c r="F69" s="1" t="str">
        <v>3.0h planned — DSA practice (90 min) | System design or LLD (45 min) | Python drills or STAR writing (30 min)</v>
      </c>
      <c r="G69" s="1">
        <v>0</v>
      </c>
      <c r="H69" s="1">
        <f>IFERROR(IF(B69="dsa",CHOOSE(G69+1,"Not started","Attempted","Solved with help","Solved unaided"),IF(OR(B69="bq",B69="res",B69="day"),CHOOSE(G69+1,"Not started","Done"),CHOOSE(G69+1,"Not started","In progress","Done"))),"invalid")</f>
      </c>
    </row>
    <row r="70">
      <c r="A70" s="1" t="str">
        <v>day-7-4</v>
      </c>
      <c r="B70" s="1" t="str">
        <v>day</v>
      </c>
      <c r="C70" s="1" t="str">
        <v>Week 7</v>
      </c>
      <c r="D70" s="1">
        <v>7</v>
      </c>
      <c r="E70" s="1" t="str">
        <v>Week 7 weekday (day 4)</v>
      </c>
      <c r="F70" s="1" t="str">
        <v>3.0h planned — DSA practice (90 min) | System design or LLD (45 min) | Python drills or STAR writing (30 min)</v>
      </c>
      <c r="G70" s="1">
        <v>0</v>
      </c>
      <c r="H70" s="1">
        <f>IFERROR(IF(B70="dsa",CHOOSE(G70+1,"Not started","Attempted","Solved with help","Solved unaided"),IF(OR(B70="bq",B70="res",B70="day"),CHOOSE(G70+1,"Not started","Done"),CHOOSE(G70+1,"Not started","In progress","Done"))),"invalid")</f>
      </c>
    </row>
    <row r="71">
      <c r="A71" s="1" t="str">
        <v>day-7-5</v>
      </c>
      <c r="B71" s="1" t="str">
        <v>day</v>
      </c>
      <c r="C71" s="1" t="str">
        <v>Week 7</v>
      </c>
      <c r="D71" s="1">
        <v>7</v>
      </c>
      <c r="E71" s="1" t="str">
        <v>Week 7 weekday (day 5)</v>
      </c>
      <c r="F71" s="1" t="str">
        <v>3.0h planned — DSA practice (90 min) | System design or LLD (45 min) | Python drills or STAR writing (30 min)</v>
      </c>
      <c r="G71" s="1">
        <v>0</v>
      </c>
      <c r="H71" s="1">
        <f>IFERROR(IF(B71="dsa",CHOOSE(G71+1,"Not started","Attempted","Solved with help","Solved unaided"),IF(OR(B71="bq",B71="res",B71="day"),CHOOSE(G71+1,"Not started","Done"),CHOOSE(G71+1,"Not started","In progress","Done"))),"invalid")</f>
      </c>
    </row>
    <row r="72">
      <c r="A72" s="1" t="str">
        <v>day-7-6</v>
      </c>
      <c r="B72" s="1" t="str">
        <v>day</v>
      </c>
      <c r="C72" s="1" t="str">
        <v>Week 7</v>
      </c>
      <c r="D72" s="1">
        <v>7</v>
      </c>
      <c r="E72" s="1" t="str">
        <v>Week 7 saturday (day 6)</v>
      </c>
      <c r="F72" s="1" t="str">
        <v>3.5h planned — Timed mock in a Google Doc, no IDE (90 min) | System design case study write-up (60 min) | Record and review one STAR story (30 min)</v>
      </c>
      <c r="G72" s="1">
        <v>0</v>
      </c>
      <c r="H72" s="1">
        <f>IFERROR(IF(B72="dsa",CHOOSE(G72+1,"Not started","Attempted","Solved with help","Solved unaided"),IF(OR(B72="bq",B72="res",B72="day"),CHOOSE(G72+1,"Not started","Done"),CHOOSE(G72+1,"Not started","In progress","Done"))),"invalid")</f>
      </c>
    </row>
    <row r="73">
      <c r="A73" s="1" t="str">
        <v>day-7-7</v>
      </c>
      <c r="B73" s="1" t="str">
        <v>day</v>
      </c>
      <c r="C73" s="1" t="str">
        <v>Week 7</v>
      </c>
      <c r="D73" s="1">
        <v>7</v>
      </c>
      <c r="E73" s="1" t="str">
        <v>Week 7 sunday (day 7)</v>
      </c>
      <c r="F73" s="1" t="str">
        <v>2.0h planned — Spaced repetition: re-solve 3 things you failed (60 min) | Week review and plan next week (30 min) | Light reading: DDIA or Fluent Python (30 min)</v>
      </c>
      <c r="G73" s="1">
        <v>0</v>
      </c>
      <c r="H73" s="1">
        <f>IFERROR(IF(B73="dsa",CHOOSE(G73+1,"Not started","Attempted","Solved with help","Solved unaided"),IF(OR(B73="bq",B73="res",B73="day"),CHOOSE(G73+1,"Not started","Done"),CHOOSE(G73+1,"Not started","In progress","Done"))),"invalid")</f>
      </c>
    </row>
    <row r="74">
      <c r="A74" s="1" t="str">
        <v>day-8-1</v>
      </c>
      <c r="B74" s="1" t="str">
        <v>day</v>
      </c>
      <c r="C74" s="1" t="str">
        <v>Week 8</v>
      </c>
      <c r="D74" s="1">
        <v>8</v>
      </c>
      <c r="E74" s="1" t="str">
        <v>Week 8 weekday (day 1)</v>
      </c>
      <c r="F74" s="1" t="str">
        <v>3.0h planned — DSA practice (90 min) | System design or LLD (45 min) | Python drills or STAR writing (30 min)</v>
      </c>
      <c r="G74" s="1">
        <v>0</v>
      </c>
      <c r="H74" s="1">
        <f>IFERROR(IF(B74="dsa",CHOOSE(G74+1,"Not started","Attempted","Solved with help","Solved unaided"),IF(OR(B74="bq",B74="res",B74="day"),CHOOSE(G74+1,"Not started","Done"),CHOOSE(G74+1,"Not started","In progress","Done"))),"invalid")</f>
      </c>
    </row>
    <row r="75">
      <c r="A75" s="1" t="str">
        <v>day-8-2</v>
      </c>
      <c r="B75" s="1" t="str">
        <v>day</v>
      </c>
      <c r="C75" s="1" t="str">
        <v>Week 8</v>
      </c>
      <c r="D75" s="1">
        <v>8</v>
      </c>
      <c r="E75" s="1" t="str">
        <v>Week 8 weekday (day 2)</v>
      </c>
      <c r="F75" s="1" t="str">
        <v>3.0h planned — DSA practice (90 min) | System design or LLD (45 min) | Python drills or STAR writing (30 min)</v>
      </c>
      <c r="G75" s="1">
        <v>0</v>
      </c>
      <c r="H75" s="1">
        <f>IFERROR(IF(B75="dsa",CHOOSE(G75+1,"Not started","Attempted","Solved with help","Solved unaided"),IF(OR(B75="bq",B75="res",B75="day"),CHOOSE(G75+1,"Not started","Done"),CHOOSE(G75+1,"Not started","In progress","Done"))),"invalid")</f>
      </c>
    </row>
    <row r="76">
      <c r="A76" s="1" t="str">
        <v>day-8-3</v>
      </c>
      <c r="B76" s="1" t="str">
        <v>day</v>
      </c>
      <c r="C76" s="1" t="str">
        <v>Week 8</v>
      </c>
      <c r="D76" s="1">
        <v>8</v>
      </c>
      <c r="E76" s="1" t="str">
        <v>Week 8 weekday (day 3)</v>
      </c>
      <c r="F76" s="1" t="str">
        <v>3.0h planned — DSA practice (90 min) | System design or LLD (45 min) | Python drills or STAR writing (30 min)</v>
      </c>
      <c r="G76" s="1">
        <v>0</v>
      </c>
      <c r="H76" s="1">
        <f>IFERROR(IF(B76="dsa",CHOOSE(G76+1,"Not started","Attempted","Solved with help","Solved unaided"),IF(OR(B76="bq",B76="res",B76="day"),CHOOSE(G76+1,"Not started","Done"),CHOOSE(G76+1,"Not started","In progress","Done"))),"invalid")</f>
      </c>
    </row>
    <row r="77">
      <c r="A77" s="1" t="str">
        <v>day-8-4</v>
      </c>
      <c r="B77" s="1" t="str">
        <v>day</v>
      </c>
      <c r="C77" s="1" t="str">
        <v>Week 8</v>
      </c>
      <c r="D77" s="1">
        <v>8</v>
      </c>
      <c r="E77" s="1" t="str">
        <v>Week 8 weekday (day 4)</v>
      </c>
      <c r="F77" s="1" t="str">
        <v>3.0h planned — DSA practice (90 min) | System design or LLD (45 min) | Python drills or STAR writing (30 min)</v>
      </c>
      <c r="G77" s="1">
        <v>0</v>
      </c>
      <c r="H77" s="1">
        <f>IFERROR(IF(B77="dsa",CHOOSE(G77+1,"Not started","Attempted","Solved with help","Solved unaided"),IF(OR(B77="bq",B77="res",B77="day"),CHOOSE(G77+1,"Not started","Done"),CHOOSE(G77+1,"Not started","In progress","Done"))),"invalid")</f>
      </c>
    </row>
    <row r="78">
      <c r="A78" s="1" t="str">
        <v>day-8-5</v>
      </c>
      <c r="B78" s="1" t="str">
        <v>day</v>
      </c>
      <c r="C78" s="1" t="str">
        <v>Week 8</v>
      </c>
      <c r="D78" s="1">
        <v>8</v>
      </c>
      <c r="E78" s="1" t="str">
        <v>Week 8 weekday (day 5)</v>
      </c>
      <c r="F78" s="1" t="str">
        <v>3.0h planned — DSA practice (90 min) | System design or LLD (45 min) | Python drills or STAR writing (30 min)</v>
      </c>
      <c r="G78" s="1">
        <v>0</v>
      </c>
      <c r="H78" s="1">
        <f>IFERROR(IF(B78="dsa",CHOOSE(G78+1,"Not started","Attempted","Solved with help","Solved unaided"),IF(OR(B78="bq",B78="res",B78="day"),CHOOSE(G78+1,"Not started","Done"),CHOOSE(G78+1,"Not started","In progress","Done"))),"invalid")</f>
      </c>
    </row>
    <row r="79">
      <c r="A79" s="1" t="str">
        <v>day-8-6</v>
      </c>
      <c r="B79" s="1" t="str">
        <v>day</v>
      </c>
      <c r="C79" s="1" t="str">
        <v>Week 8</v>
      </c>
      <c r="D79" s="1">
        <v>8</v>
      </c>
      <c r="E79" s="1" t="str">
        <v>Week 8 saturday (day 6)</v>
      </c>
      <c r="F79" s="1" t="str">
        <v>3.5h planned — Timed mock in a Google Doc, no IDE (90 min) | System design case study write-up (60 min) | Record and review one STAR story (30 min)</v>
      </c>
      <c r="G79" s="1">
        <v>0</v>
      </c>
      <c r="H79" s="1">
        <f>IFERROR(IF(B79="dsa",CHOOSE(G79+1,"Not started","Attempted","Solved with help","Solved unaided"),IF(OR(B79="bq",B79="res",B79="day"),CHOOSE(G79+1,"Not started","Done"),CHOOSE(G79+1,"Not started","In progress","Done"))),"invalid")</f>
      </c>
    </row>
    <row r="80">
      <c r="A80" s="1" t="str">
        <v>day-8-7</v>
      </c>
      <c r="B80" s="1" t="str">
        <v>day</v>
      </c>
      <c r="C80" s="1" t="str">
        <v>Week 8</v>
      </c>
      <c r="D80" s="1">
        <v>8</v>
      </c>
      <c r="E80" s="1" t="str">
        <v>Week 8 sunday (day 7)</v>
      </c>
      <c r="F80" s="1" t="str">
        <v>2.0h planned — Spaced repetition: re-solve 3 things you failed (60 min) | Week review and plan next week (30 min) | Light reading: DDIA or Fluent Python (30 min)</v>
      </c>
      <c r="G80" s="1">
        <v>0</v>
      </c>
      <c r="H80" s="1">
        <f>IFERROR(IF(B80="dsa",CHOOSE(G80+1,"Not started","Attempted","Solved with help","Solved unaided"),IF(OR(B80="bq",B80="res",B80="day"),CHOOSE(G80+1,"Not started","Done"),CHOOSE(G80+1,"Not started","In progress","Done"))),"invalid")</f>
      </c>
    </row>
    <row r="81">
      <c r="A81" s="1" t="str">
        <v>day-9-1</v>
      </c>
      <c r="B81" s="1" t="str">
        <v>day</v>
      </c>
      <c r="C81" s="1" t="str">
        <v>Week 9</v>
      </c>
      <c r="D81" s="1">
        <v>9</v>
      </c>
      <c r="E81" s="1" t="str">
        <v>Week 9 weekday (day 1)</v>
      </c>
      <c r="F81" s="1" t="str">
        <v>3.0h planned — DSA practice (90 min) | System design or LLD (45 min) | Python drills or STAR writing (30 min)</v>
      </c>
      <c r="G81" s="1">
        <v>0</v>
      </c>
      <c r="H81" s="1">
        <f>IFERROR(IF(B81="dsa",CHOOSE(G81+1,"Not started","Attempted","Solved with help","Solved unaided"),IF(OR(B81="bq",B81="res",B81="day"),CHOOSE(G81+1,"Not started","Done"),CHOOSE(G81+1,"Not started","In progress","Done"))),"invalid")</f>
      </c>
    </row>
    <row r="82">
      <c r="A82" s="1" t="str">
        <v>day-9-2</v>
      </c>
      <c r="B82" s="1" t="str">
        <v>day</v>
      </c>
      <c r="C82" s="1" t="str">
        <v>Week 9</v>
      </c>
      <c r="D82" s="1">
        <v>9</v>
      </c>
      <c r="E82" s="1" t="str">
        <v>Week 9 weekday (day 2)</v>
      </c>
      <c r="F82" s="1" t="str">
        <v>3.0h planned — DSA practice (90 min) | System design or LLD (45 min) | Python drills or STAR writing (30 min)</v>
      </c>
      <c r="G82" s="1">
        <v>0</v>
      </c>
      <c r="H82" s="1">
        <f>IFERROR(IF(B82="dsa",CHOOSE(G82+1,"Not started","Attempted","Solved with help","Solved unaided"),IF(OR(B82="bq",B82="res",B82="day"),CHOOSE(G82+1,"Not started","Done"),CHOOSE(G82+1,"Not started","In progress","Done"))),"invalid")</f>
      </c>
    </row>
    <row r="83">
      <c r="A83" s="1" t="str">
        <v>day-9-3</v>
      </c>
      <c r="B83" s="1" t="str">
        <v>day</v>
      </c>
      <c r="C83" s="1" t="str">
        <v>Week 9</v>
      </c>
      <c r="D83" s="1">
        <v>9</v>
      </c>
      <c r="E83" s="1" t="str">
        <v>Week 9 weekday (day 3)</v>
      </c>
      <c r="F83" s="1" t="str">
        <v>3.0h planned — DSA practice (90 min) | System design or LLD (45 min) | Python drills or STAR writing (30 min)</v>
      </c>
      <c r="G83" s="1">
        <v>0</v>
      </c>
      <c r="H83" s="1">
        <f>IFERROR(IF(B83="dsa",CHOOSE(G83+1,"Not started","Attempted","Solved with help","Solved unaided"),IF(OR(B83="bq",B83="res",B83="day"),CHOOSE(G83+1,"Not started","Done"),CHOOSE(G83+1,"Not started","In progress","Done"))),"invalid")</f>
      </c>
    </row>
    <row r="84">
      <c r="A84" s="1" t="str">
        <v>day-9-4</v>
      </c>
      <c r="B84" s="1" t="str">
        <v>day</v>
      </c>
      <c r="C84" s="1" t="str">
        <v>Week 9</v>
      </c>
      <c r="D84" s="1">
        <v>9</v>
      </c>
      <c r="E84" s="1" t="str">
        <v>Week 9 weekday (day 4)</v>
      </c>
      <c r="F84" s="1" t="str">
        <v>3.0h planned — DSA practice (90 min) | System design or LLD (45 min) | Python drills or STAR writing (30 min)</v>
      </c>
      <c r="G84" s="1">
        <v>0</v>
      </c>
      <c r="H84" s="1">
        <f>IFERROR(IF(B84="dsa",CHOOSE(G84+1,"Not started","Attempted","Solved with help","Solved unaided"),IF(OR(B84="bq",B84="res",B84="day"),CHOOSE(G84+1,"Not started","Done"),CHOOSE(G84+1,"Not started","In progress","Done"))),"invalid")</f>
      </c>
    </row>
    <row r="85">
      <c r="A85" s="1" t="str">
        <v>day-9-5</v>
      </c>
      <c r="B85" s="1" t="str">
        <v>day</v>
      </c>
      <c r="C85" s="1" t="str">
        <v>Week 9</v>
      </c>
      <c r="D85" s="1">
        <v>9</v>
      </c>
      <c r="E85" s="1" t="str">
        <v>Week 9 weekday (day 5)</v>
      </c>
      <c r="F85" s="1" t="str">
        <v>3.0h planned — DSA practice (90 min) | System design or LLD (45 min) | Python drills or STAR writing (30 min)</v>
      </c>
      <c r="G85" s="1">
        <v>0</v>
      </c>
      <c r="H85" s="1">
        <f>IFERROR(IF(B85="dsa",CHOOSE(G85+1,"Not started","Attempted","Solved with help","Solved unaided"),IF(OR(B85="bq",B85="res",B85="day"),CHOOSE(G85+1,"Not started","Done"),CHOOSE(G85+1,"Not started","In progress","Done"))),"invalid")</f>
      </c>
    </row>
    <row r="86">
      <c r="A86" s="1" t="str">
        <v>day-9-6</v>
      </c>
      <c r="B86" s="1" t="str">
        <v>day</v>
      </c>
      <c r="C86" s="1" t="str">
        <v>Week 9</v>
      </c>
      <c r="D86" s="1">
        <v>9</v>
      </c>
      <c r="E86" s="1" t="str">
        <v>Week 9 saturday (day 6)</v>
      </c>
      <c r="F86" s="1" t="str">
        <v>3.5h planned — Timed mock in a Google Doc, no IDE (90 min) | System design case study write-up (60 min) | Record and review one STAR story (30 min)</v>
      </c>
      <c r="G86" s="1">
        <v>0</v>
      </c>
      <c r="H86" s="1">
        <f>IFERROR(IF(B86="dsa",CHOOSE(G86+1,"Not started","Attempted","Solved with help","Solved unaided"),IF(OR(B86="bq",B86="res",B86="day"),CHOOSE(G86+1,"Not started","Done"),CHOOSE(G86+1,"Not started","In progress","Done"))),"invalid")</f>
      </c>
    </row>
    <row r="87">
      <c r="A87" s="1" t="str">
        <v>day-9-7</v>
      </c>
      <c r="B87" s="1" t="str">
        <v>day</v>
      </c>
      <c r="C87" s="1" t="str">
        <v>Week 9</v>
      </c>
      <c r="D87" s="1">
        <v>9</v>
      </c>
      <c r="E87" s="1" t="str">
        <v>Week 9 sunday (day 7)</v>
      </c>
      <c r="F87" s="1" t="str">
        <v>2.0h planned — Spaced repetition: re-solve 3 things you failed (60 min) | Week review and plan next week (30 min) | Light reading: DDIA or Fluent Python (30 min)</v>
      </c>
      <c r="G87" s="1">
        <v>0</v>
      </c>
      <c r="H87" s="1">
        <f>IFERROR(IF(B87="dsa",CHOOSE(G87+1,"Not started","Attempted","Solved with help","Solved unaided"),IF(OR(B87="bq",B87="res",B87="day"),CHOOSE(G87+1,"Not started","Done"),CHOOSE(G87+1,"Not started","In progress","Done"))),"invalid")</f>
      </c>
    </row>
    <row r="88">
      <c r="A88" s="1" t="str">
        <v>day-10-1</v>
      </c>
      <c r="B88" s="1" t="str">
        <v>day</v>
      </c>
      <c r="C88" s="1" t="str">
        <v>Week 10</v>
      </c>
      <c r="D88" s="1">
        <v>10</v>
      </c>
      <c r="E88" s="1" t="str">
        <v>Week 10 weekday (day 1)</v>
      </c>
      <c r="F88" s="1" t="str">
        <v>3.0h planned — DSA practice (90 min) | System design or LLD (45 min) | Python drills or STAR writing (30 min)</v>
      </c>
      <c r="G88" s="1">
        <v>0</v>
      </c>
      <c r="H88" s="1">
        <f>IFERROR(IF(B88="dsa",CHOOSE(G88+1,"Not started","Attempted","Solved with help","Solved unaided"),IF(OR(B88="bq",B88="res",B88="day"),CHOOSE(G88+1,"Not started","Done"),CHOOSE(G88+1,"Not started","In progress","Done"))),"invalid")</f>
      </c>
    </row>
    <row r="89">
      <c r="A89" s="1" t="str">
        <v>day-10-2</v>
      </c>
      <c r="B89" s="1" t="str">
        <v>day</v>
      </c>
      <c r="C89" s="1" t="str">
        <v>Week 10</v>
      </c>
      <c r="D89" s="1">
        <v>10</v>
      </c>
      <c r="E89" s="1" t="str">
        <v>Week 10 weekday (day 2)</v>
      </c>
      <c r="F89" s="1" t="str">
        <v>3.0h planned — DSA practice (90 min) | System design or LLD (45 min) | Python drills or STAR writing (30 min)</v>
      </c>
      <c r="G89" s="1">
        <v>0</v>
      </c>
      <c r="H89" s="1">
        <f>IFERROR(IF(B89="dsa",CHOOSE(G89+1,"Not started","Attempted","Solved with help","Solved unaided"),IF(OR(B89="bq",B89="res",B89="day"),CHOOSE(G89+1,"Not started","Done"),CHOOSE(G89+1,"Not started","In progress","Done"))),"invalid")</f>
      </c>
    </row>
    <row r="90">
      <c r="A90" s="1" t="str">
        <v>day-10-3</v>
      </c>
      <c r="B90" s="1" t="str">
        <v>day</v>
      </c>
      <c r="C90" s="1" t="str">
        <v>Week 10</v>
      </c>
      <c r="D90" s="1">
        <v>10</v>
      </c>
      <c r="E90" s="1" t="str">
        <v>Week 10 weekday (day 3)</v>
      </c>
      <c r="F90" s="1" t="str">
        <v>3.0h planned — DSA practice (90 min) | System design or LLD (45 min) | Python drills or STAR writing (30 min)</v>
      </c>
      <c r="G90" s="1">
        <v>0</v>
      </c>
      <c r="H90" s="1">
        <f>IFERROR(IF(B90="dsa",CHOOSE(G90+1,"Not started","Attempted","Solved with help","Solved unaided"),IF(OR(B90="bq",B90="res",B90="day"),CHOOSE(G90+1,"Not started","Done"),CHOOSE(G90+1,"Not started","In progress","Done"))),"invalid")</f>
      </c>
    </row>
    <row r="91">
      <c r="A91" s="1" t="str">
        <v>day-10-4</v>
      </c>
      <c r="B91" s="1" t="str">
        <v>day</v>
      </c>
      <c r="C91" s="1" t="str">
        <v>Week 10</v>
      </c>
      <c r="D91" s="1">
        <v>10</v>
      </c>
      <c r="E91" s="1" t="str">
        <v>Week 10 weekday (day 4)</v>
      </c>
      <c r="F91" s="1" t="str">
        <v>3.0h planned — DSA practice (90 min) | System design or LLD (45 min) | Python drills or STAR writing (30 min)</v>
      </c>
      <c r="G91" s="1">
        <v>0</v>
      </c>
      <c r="H91" s="1">
        <f>IFERROR(IF(B91="dsa",CHOOSE(G91+1,"Not started","Attempted","Solved with help","Solved unaided"),IF(OR(B91="bq",B91="res",B91="day"),CHOOSE(G91+1,"Not started","Done"),CHOOSE(G91+1,"Not started","In progress","Done"))),"invalid")</f>
      </c>
    </row>
    <row r="92">
      <c r="A92" s="1" t="str">
        <v>day-10-5</v>
      </c>
      <c r="B92" s="1" t="str">
        <v>day</v>
      </c>
      <c r="C92" s="1" t="str">
        <v>Week 10</v>
      </c>
      <c r="D92" s="1">
        <v>10</v>
      </c>
      <c r="E92" s="1" t="str">
        <v>Week 10 weekday (day 5)</v>
      </c>
      <c r="F92" s="1" t="str">
        <v>3.0h planned — DSA practice (90 min) | System design or LLD (45 min) | Python drills or STAR writing (30 min)</v>
      </c>
      <c r="G92" s="1">
        <v>0</v>
      </c>
      <c r="H92" s="1">
        <f>IFERROR(IF(B92="dsa",CHOOSE(G92+1,"Not started","Attempted","Solved with help","Solved unaided"),IF(OR(B92="bq",B92="res",B92="day"),CHOOSE(G92+1,"Not started","Done"),CHOOSE(G92+1,"Not started","In progress","Done"))),"invalid")</f>
      </c>
    </row>
    <row r="93">
      <c r="A93" s="1" t="str">
        <v>day-10-6</v>
      </c>
      <c r="B93" s="1" t="str">
        <v>day</v>
      </c>
      <c r="C93" s="1" t="str">
        <v>Week 10</v>
      </c>
      <c r="D93" s="1">
        <v>10</v>
      </c>
      <c r="E93" s="1" t="str">
        <v>Week 10 saturday (day 6)</v>
      </c>
      <c r="F93" s="1" t="str">
        <v>3.5h planned — Timed mock in a Google Doc, no IDE (90 min) | System design case study write-up (60 min) | Record and review one STAR story (30 min)</v>
      </c>
      <c r="G93" s="1">
        <v>0</v>
      </c>
      <c r="H93" s="1">
        <f>IFERROR(IF(B93="dsa",CHOOSE(G93+1,"Not started","Attempted","Solved with help","Solved unaided"),IF(OR(B93="bq",B93="res",B93="day"),CHOOSE(G93+1,"Not started","Done"),CHOOSE(G93+1,"Not started","In progress","Done"))),"invalid")</f>
      </c>
    </row>
    <row r="94">
      <c r="A94" s="1" t="str">
        <v>day-10-7</v>
      </c>
      <c r="B94" s="1" t="str">
        <v>day</v>
      </c>
      <c r="C94" s="1" t="str">
        <v>Week 10</v>
      </c>
      <c r="D94" s="1">
        <v>10</v>
      </c>
      <c r="E94" s="1" t="str">
        <v>Week 10 sunday (day 7)</v>
      </c>
      <c r="F94" s="1" t="str">
        <v>2.0h planned — Spaced repetition: re-solve 3 things you failed (60 min) | Week review and plan next week (30 min) | Light reading: DDIA or Fluent Python (30 min)</v>
      </c>
      <c r="G94" s="1">
        <v>0</v>
      </c>
      <c r="H94" s="1">
        <f>IFERROR(IF(B94="dsa",CHOOSE(G94+1,"Not started","Attempted","Solved with help","Solved unaided"),IF(OR(B94="bq",B94="res",B94="day"),CHOOSE(G94+1,"Not started","Done"),CHOOSE(G94+1,"Not started","In progress","Done"))),"invalid")</f>
      </c>
    </row>
    <row r="95">
      <c r="A95" s="1" t="str">
        <v>day-11-1</v>
      </c>
      <c r="B95" s="1" t="str">
        <v>day</v>
      </c>
      <c r="C95" s="1" t="str">
        <v>Week 11</v>
      </c>
      <c r="D95" s="1">
        <v>11</v>
      </c>
      <c r="E95" s="1" t="str">
        <v>Week 11 weekday (day 1)</v>
      </c>
      <c r="F95" s="1" t="str">
        <v>3.0h planned — DSA practice (90 min) | System design or LLD (45 min) | Python drills or STAR writing (30 min)</v>
      </c>
      <c r="G95" s="1">
        <v>0</v>
      </c>
      <c r="H95" s="1">
        <f>IFERROR(IF(B95="dsa",CHOOSE(G95+1,"Not started","Attempted","Solved with help","Solved unaided"),IF(OR(B95="bq",B95="res",B95="day"),CHOOSE(G95+1,"Not started","Done"),CHOOSE(G95+1,"Not started","In progress","Done"))),"invalid")</f>
      </c>
    </row>
    <row r="96">
      <c r="A96" s="1" t="str">
        <v>day-11-2</v>
      </c>
      <c r="B96" s="1" t="str">
        <v>day</v>
      </c>
      <c r="C96" s="1" t="str">
        <v>Week 11</v>
      </c>
      <c r="D96" s="1">
        <v>11</v>
      </c>
      <c r="E96" s="1" t="str">
        <v>Week 11 weekday (day 2)</v>
      </c>
      <c r="F96" s="1" t="str">
        <v>3.0h planned — DSA practice (90 min) | System design or LLD (45 min) | Python drills or STAR writing (30 min)</v>
      </c>
      <c r="G96" s="1">
        <v>0</v>
      </c>
      <c r="H96" s="1">
        <f>IFERROR(IF(B96="dsa",CHOOSE(G96+1,"Not started","Attempted","Solved with help","Solved unaided"),IF(OR(B96="bq",B96="res",B96="day"),CHOOSE(G96+1,"Not started","Done"),CHOOSE(G96+1,"Not started","In progress","Done"))),"invalid")</f>
      </c>
    </row>
    <row r="97">
      <c r="A97" s="1" t="str">
        <v>day-11-3</v>
      </c>
      <c r="B97" s="1" t="str">
        <v>day</v>
      </c>
      <c r="C97" s="1" t="str">
        <v>Week 11</v>
      </c>
      <c r="D97" s="1">
        <v>11</v>
      </c>
      <c r="E97" s="1" t="str">
        <v>Week 11 weekday (day 3)</v>
      </c>
      <c r="F97" s="1" t="str">
        <v>3.0h planned — DSA practice (90 min) | System design or LLD (45 min) | Python drills or STAR writing (30 min)</v>
      </c>
      <c r="G97" s="1">
        <v>0</v>
      </c>
      <c r="H97" s="1">
        <f>IFERROR(IF(B97="dsa",CHOOSE(G97+1,"Not started","Attempted","Solved with help","Solved unaided"),IF(OR(B97="bq",B97="res",B97="day"),CHOOSE(G97+1,"Not started","Done"),CHOOSE(G97+1,"Not started","In progress","Done"))),"invalid")</f>
      </c>
    </row>
    <row r="98">
      <c r="A98" s="1" t="str">
        <v>day-11-4</v>
      </c>
      <c r="B98" s="1" t="str">
        <v>day</v>
      </c>
      <c r="C98" s="1" t="str">
        <v>Week 11</v>
      </c>
      <c r="D98" s="1">
        <v>11</v>
      </c>
      <c r="E98" s="1" t="str">
        <v>Week 11 weekday (day 4)</v>
      </c>
      <c r="F98" s="1" t="str">
        <v>3.0h planned — DSA practice (90 min) | System design or LLD (45 min) | Python drills or STAR writing (30 min)</v>
      </c>
      <c r="G98" s="1">
        <v>0</v>
      </c>
      <c r="H98" s="1">
        <f>IFERROR(IF(B98="dsa",CHOOSE(G98+1,"Not started","Attempted","Solved with help","Solved unaided"),IF(OR(B98="bq",B98="res",B98="day"),CHOOSE(G98+1,"Not started","Done"),CHOOSE(G98+1,"Not started","In progress","Done"))),"invalid")</f>
      </c>
    </row>
    <row r="99">
      <c r="A99" s="1" t="str">
        <v>day-11-5</v>
      </c>
      <c r="B99" s="1" t="str">
        <v>day</v>
      </c>
      <c r="C99" s="1" t="str">
        <v>Week 11</v>
      </c>
      <c r="D99" s="1">
        <v>11</v>
      </c>
      <c r="E99" s="1" t="str">
        <v>Week 11 weekday (day 5)</v>
      </c>
      <c r="F99" s="1" t="str">
        <v>3.0h planned — DSA practice (90 min) | System design or LLD (45 min) | Python drills or STAR writing (30 min)</v>
      </c>
      <c r="G99" s="1">
        <v>0</v>
      </c>
      <c r="H99" s="1">
        <f>IFERROR(IF(B99="dsa",CHOOSE(G99+1,"Not started","Attempted","Solved with help","Solved unaided"),IF(OR(B99="bq",B99="res",B99="day"),CHOOSE(G99+1,"Not started","Done"),CHOOSE(G99+1,"Not started","In progress","Done"))),"invalid")</f>
      </c>
    </row>
    <row r="100">
      <c r="A100" s="1" t="str">
        <v>day-11-6</v>
      </c>
      <c r="B100" s="1" t="str">
        <v>day</v>
      </c>
      <c r="C100" s="1" t="str">
        <v>Week 11</v>
      </c>
      <c r="D100" s="1">
        <v>11</v>
      </c>
      <c r="E100" s="1" t="str">
        <v>Week 11 saturday (day 6)</v>
      </c>
      <c r="F100" s="1" t="str">
        <v>3.5h planned — Timed mock in a Google Doc, no IDE (90 min) | System design case study write-up (60 min) | Record and review one STAR story (30 min)</v>
      </c>
      <c r="G100" s="1">
        <v>0</v>
      </c>
      <c r="H100" s="1">
        <f>IFERROR(IF(B100="dsa",CHOOSE(G100+1,"Not started","Attempted","Solved with help","Solved unaided"),IF(OR(B100="bq",B100="res",B100="day"),CHOOSE(G100+1,"Not started","Done"),CHOOSE(G100+1,"Not started","In progress","Done"))),"invalid")</f>
      </c>
    </row>
    <row r="101">
      <c r="A101" s="1" t="str">
        <v>day-11-7</v>
      </c>
      <c r="B101" s="1" t="str">
        <v>day</v>
      </c>
      <c r="C101" s="1" t="str">
        <v>Week 11</v>
      </c>
      <c r="D101" s="1">
        <v>11</v>
      </c>
      <c r="E101" s="1" t="str">
        <v>Week 11 sunday (day 7)</v>
      </c>
      <c r="F101" s="1" t="str">
        <v>2.0h planned — Spaced repetition: re-solve 3 things you failed (60 min) | Week review and plan next week (30 min) | Light reading: DDIA or Fluent Python (30 min)</v>
      </c>
      <c r="G101" s="1">
        <v>0</v>
      </c>
      <c r="H101" s="1">
        <f>IFERROR(IF(B101="dsa",CHOOSE(G101+1,"Not started","Attempted","Solved with help","Solved unaided"),IF(OR(B101="bq",B101="res",B101="day"),CHOOSE(G101+1,"Not started","Done"),CHOOSE(G101+1,"Not started","In progress","Done"))),"invalid")</f>
      </c>
    </row>
    <row r="102">
      <c r="A102" s="1" t="str">
        <v>day-12-1</v>
      </c>
      <c r="B102" s="1" t="str">
        <v>day</v>
      </c>
      <c r="C102" s="1" t="str">
        <v>Week 12</v>
      </c>
      <c r="D102" s="1">
        <v>12</v>
      </c>
      <c r="E102" s="1" t="str">
        <v>Week 12 weekday (day 1)</v>
      </c>
      <c r="F102" s="1" t="str">
        <v>3.0h planned — DSA practice (90 min) | System design or LLD (45 min) | Python drills or STAR writing (30 min)</v>
      </c>
      <c r="G102" s="1">
        <v>0</v>
      </c>
      <c r="H102" s="1">
        <f>IFERROR(IF(B102="dsa",CHOOSE(G102+1,"Not started","Attempted","Solved with help","Solved unaided"),IF(OR(B102="bq",B102="res",B102="day"),CHOOSE(G102+1,"Not started","Done"),CHOOSE(G102+1,"Not started","In progress","Done"))),"invalid")</f>
      </c>
    </row>
    <row r="103">
      <c r="A103" s="1" t="str">
        <v>day-12-2</v>
      </c>
      <c r="B103" s="1" t="str">
        <v>day</v>
      </c>
      <c r="C103" s="1" t="str">
        <v>Week 12</v>
      </c>
      <c r="D103" s="1">
        <v>12</v>
      </c>
      <c r="E103" s="1" t="str">
        <v>Week 12 weekday (day 2)</v>
      </c>
      <c r="F103" s="1" t="str">
        <v>3.0h planned — DSA practice (90 min) | System design or LLD (45 min) | Python drills or STAR writing (30 min)</v>
      </c>
      <c r="G103" s="1">
        <v>0</v>
      </c>
      <c r="H103" s="1">
        <f>IFERROR(IF(B103="dsa",CHOOSE(G103+1,"Not started","Attempted","Solved with help","Solved unaided"),IF(OR(B103="bq",B103="res",B103="day"),CHOOSE(G103+1,"Not started","Done"),CHOOSE(G103+1,"Not started","In progress","Done"))),"invalid")</f>
      </c>
    </row>
    <row r="104">
      <c r="A104" s="1" t="str">
        <v>day-12-3</v>
      </c>
      <c r="B104" s="1" t="str">
        <v>day</v>
      </c>
      <c r="C104" s="1" t="str">
        <v>Week 12</v>
      </c>
      <c r="D104" s="1">
        <v>12</v>
      </c>
      <c r="E104" s="1" t="str">
        <v>Week 12 weekday (day 3)</v>
      </c>
      <c r="F104" s="1" t="str">
        <v>3.0h planned — DSA practice (90 min) | System design or LLD (45 min) | Python drills or STAR writing (30 min)</v>
      </c>
      <c r="G104" s="1">
        <v>0</v>
      </c>
      <c r="H104" s="1">
        <f>IFERROR(IF(B104="dsa",CHOOSE(G104+1,"Not started","Attempted","Solved with help","Solved unaided"),IF(OR(B104="bq",B104="res",B104="day"),CHOOSE(G104+1,"Not started","Done"),CHOOSE(G104+1,"Not started","In progress","Done"))),"invalid")</f>
      </c>
    </row>
    <row r="105">
      <c r="A105" s="1" t="str">
        <v>day-12-4</v>
      </c>
      <c r="B105" s="1" t="str">
        <v>day</v>
      </c>
      <c r="C105" s="1" t="str">
        <v>Week 12</v>
      </c>
      <c r="D105" s="1">
        <v>12</v>
      </c>
      <c r="E105" s="1" t="str">
        <v>Week 12 weekday (day 4)</v>
      </c>
      <c r="F105" s="1" t="str">
        <v>3.0h planned — DSA practice (90 min) | System design or LLD (45 min) | Python drills or STAR writing (30 min)</v>
      </c>
      <c r="G105" s="1">
        <v>0</v>
      </c>
      <c r="H105" s="1">
        <f>IFERROR(IF(B105="dsa",CHOOSE(G105+1,"Not started","Attempted","Solved with help","Solved unaided"),IF(OR(B105="bq",B105="res",B105="day"),CHOOSE(G105+1,"Not started","Done"),CHOOSE(G105+1,"Not started","In progress","Done"))),"invalid")</f>
      </c>
    </row>
    <row r="106">
      <c r="A106" s="1" t="str">
        <v>day-12-5</v>
      </c>
      <c r="B106" s="1" t="str">
        <v>day</v>
      </c>
      <c r="C106" s="1" t="str">
        <v>Week 12</v>
      </c>
      <c r="D106" s="1">
        <v>12</v>
      </c>
      <c r="E106" s="1" t="str">
        <v>Week 12 weekday (day 5)</v>
      </c>
      <c r="F106" s="1" t="str">
        <v>3.0h planned — DSA practice (90 min) | System design or LLD (45 min) | Python drills or STAR writing (30 min)</v>
      </c>
      <c r="G106" s="1">
        <v>0</v>
      </c>
      <c r="H106" s="1">
        <f>IFERROR(IF(B106="dsa",CHOOSE(G106+1,"Not started","Attempted","Solved with help","Solved unaided"),IF(OR(B106="bq",B106="res",B106="day"),CHOOSE(G106+1,"Not started","Done"),CHOOSE(G106+1,"Not started","In progress","Done"))),"invalid")</f>
      </c>
    </row>
    <row r="107">
      <c r="A107" s="1" t="str">
        <v>day-12-6</v>
      </c>
      <c r="B107" s="1" t="str">
        <v>day</v>
      </c>
      <c r="C107" s="1" t="str">
        <v>Week 12</v>
      </c>
      <c r="D107" s="1">
        <v>12</v>
      </c>
      <c r="E107" s="1" t="str">
        <v>Week 12 saturday (day 6)</v>
      </c>
      <c r="F107" s="1" t="str">
        <v>3.5h planned — Timed mock in a Google Doc, no IDE (90 min) | System design case study write-up (60 min) | Record and review one STAR story (30 min)</v>
      </c>
      <c r="G107" s="1">
        <v>0</v>
      </c>
      <c r="H107" s="1">
        <f>IFERROR(IF(B107="dsa",CHOOSE(G107+1,"Not started","Attempted","Solved with help","Solved unaided"),IF(OR(B107="bq",B107="res",B107="day"),CHOOSE(G107+1,"Not started","Done"),CHOOSE(G107+1,"Not started","In progress","Done"))),"invalid")</f>
      </c>
    </row>
    <row r="108">
      <c r="A108" s="1" t="str">
        <v>day-12-7</v>
      </c>
      <c r="B108" s="1" t="str">
        <v>day</v>
      </c>
      <c r="C108" s="1" t="str">
        <v>Week 12</v>
      </c>
      <c r="D108" s="1">
        <v>12</v>
      </c>
      <c r="E108" s="1" t="str">
        <v>Week 12 sunday (day 7)</v>
      </c>
      <c r="F108" s="1" t="str">
        <v>2.0h planned — Spaced repetition: re-solve 3 things you failed (60 min) | Week review and plan next week (30 min) | Light reading: DDIA or Fluent Python (30 min)</v>
      </c>
      <c r="G108" s="1">
        <v>0</v>
      </c>
      <c r="H108" s="1">
        <f>IFERROR(IF(B108="dsa",CHOOSE(G108+1,"Not started","Attempted","Solved with help","Solved unaided"),IF(OR(B108="bq",B108="res",B108="day"),CHOOSE(G108+1,"Not started","Done"),CHOOSE(G108+1,"Not started","In progress","Done"))),"invalid")</f>
      </c>
    </row>
    <row r="109">
      <c r="A109" s="1" t="str">
        <v>day-13-1</v>
      </c>
      <c r="B109" s="1" t="str">
        <v>day</v>
      </c>
      <c r="C109" s="1" t="str">
        <v>Week 13</v>
      </c>
      <c r="D109" s="1">
        <v>13</v>
      </c>
      <c r="E109" s="1" t="str">
        <v>Week 13 weekday (day 1)</v>
      </c>
      <c r="F109" s="1" t="str">
        <v>3.0h planned — DSA practice (90 min) | System design or LLD (45 min) | Python drills or STAR writing (30 min)</v>
      </c>
      <c r="G109" s="1">
        <v>0</v>
      </c>
      <c r="H109" s="1">
        <f>IFERROR(IF(B109="dsa",CHOOSE(G109+1,"Not started","Attempted","Solved with help","Solved unaided"),IF(OR(B109="bq",B109="res",B109="day"),CHOOSE(G109+1,"Not started","Done"),CHOOSE(G109+1,"Not started","In progress","Done"))),"invalid")</f>
      </c>
    </row>
    <row r="110">
      <c r="A110" s="1" t="str">
        <v>day-13-2</v>
      </c>
      <c r="B110" s="1" t="str">
        <v>day</v>
      </c>
      <c r="C110" s="1" t="str">
        <v>Week 13</v>
      </c>
      <c r="D110" s="1">
        <v>13</v>
      </c>
      <c r="E110" s="1" t="str">
        <v>Week 13 weekday (day 2)</v>
      </c>
      <c r="F110" s="1" t="str">
        <v>3.0h planned — DSA practice (90 min) | System design or LLD (45 min) | Python drills or STAR writing (30 min)</v>
      </c>
      <c r="G110" s="1">
        <v>0</v>
      </c>
      <c r="H110" s="1">
        <f>IFERROR(IF(B110="dsa",CHOOSE(G110+1,"Not started","Attempted","Solved with help","Solved unaided"),IF(OR(B110="bq",B110="res",B110="day"),CHOOSE(G110+1,"Not started","Done"),CHOOSE(G110+1,"Not started","In progress","Done"))),"invalid")</f>
      </c>
    </row>
    <row r="111">
      <c r="A111" s="1" t="str">
        <v>day-13-3</v>
      </c>
      <c r="B111" s="1" t="str">
        <v>day</v>
      </c>
      <c r="C111" s="1" t="str">
        <v>Week 13</v>
      </c>
      <c r="D111" s="1">
        <v>13</v>
      </c>
      <c r="E111" s="1" t="str">
        <v>Week 13 weekday (day 3)</v>
      </c>
      <c r="F111" s="1" t="str">
        <v>3.0h planned — DSA practice (90 min) | System design or LLD (45 min) | Python drills or STAR writing (30 min)</v>
      </c>
      <c r="G111" s="1">
        <v>0</v>
      </c>
      <c r="H111" s="1">
        <f>IFERROR(IF(B111="dsa",CHOOSE(G111+1,"Not started","Attempted","Solved with help","Solved unaided"),IF(OR(B111="bq",B111="res",B111="day"),CHOOSE(G111+1,"Not started","Done"),CHOOSE(G111+1,"Not started","In progress","Done"))),"invalid")</f>
      </c>
    </row>
    <row r="112">
      <c r="A112" s="1" t="str">
        <v>day-13-4</v>
      </c>
      <c r="B112" s="1" t="str">
        <v>day</v>
      </c>
      <c r="C112" s="1" t="str">
        <v>Week 13</v>
      </c>
      <c r="D112" s="1">
        <v>13</v>
      </c>
      <c r="E112" s="1" t="str">
        <v>Week 13 weekday (day 4)</v>
      </c>
      <c r="F112" s="1" t="str">
        <v>3.0h planned — DSA practice (90 min) | System design or LLD (45 min) | Python drills or STAR writing (30 min)</v>
      </c>
      <c r="G112" s="1">
        <v>0</v>
      </c>
      <c r="H112" s="1">
        <f>IFERROR(IF(B112="dsa",CHOOSE(G112+1,"Not started","Attempted","Solved with help","Solved unaided"),IF(OR(B112="bq",B112="res",B112="day"),CHOOSE(G112+1,"Not started","Done"),CHOOSE(G112+1,"Not started","In progress","Done"))),"invalid")</f>
      </c>
    </row>
    <row r="113">
      <c r="A113" s="1" t="str">
        <v>day-13-5</v>
      </c>
      <c r="B113" s="1" t="str">
        <v>day</v>
      </c>
      <c r="C113" s="1" t="str">
        <v>Week 13</v>
      </c>
      <c r="D113" s="1">
        <v>13</v>
      </c>
      <c r="E113" s="1" t="str">
        <v>Week 13 weekday (day 5)</v>
      </c>
      <c r="F113" s="1" t="str">
        <v>3.0h planned — DSA practice (90 min) | System design or LLD (45 min) | Python drills or STAR writing (30 min)</v>
      </c>
      <c r="G113" s="1">
        <v>0</v>
      </c>
      <c r="H113" s="1">
        <f>IFERROR(IF(B113="dsa",CHOOSE(G113+1,"Not started","Attempted","Solved with help","Solved unaided"),IF(OR(B113="bq",B113="res",B113="day"),CHOOSE(G113+1,"Not started","Done"),CHOOSE(G113+1,"Not started","In progress","Done"))),"invalid")</f>
      </c>
    </row>
    <row r="114">
      <c r="A114" s="1" t="str">
        <v>day-13-6</v>
      </c>
      <c r="B114" s="1" t="str">
        <v>day</v>
      </c>
      <c r="C114" s="1" t="str">
        <v>Week 13</v>
      </c>
      <c r="D114" s="1">
        <v>13</v>
      </c>
      <c r="E114" s="1" t="str">
        <v>Week 13 saturday (day 6)</v>
      </c>
      <c r="F114" s="1" t="str">
        <v>3.5h planned — Timed mock in a Google Doc, no IDE (90 min) | System design case study write-up (60 min) | Record and review one STAR story (30 min)</v>
      </c>
      <c r="G114" s="1">
        <v>0</v>
      </c>
      <c r="H114" s="1">
        <f>IFERROR(IF(B114="dsa",CHOOSE(G114+1,"Not started","Attempted","Solved with help","Solved unaided"),IF(OR(B114="bq",B114="res",B114="day"),CHOOSE(G114+1,"Not started","Done"),CHOOSE(G114+1,"Not started","In progress","Done"))),"invalid")</f>
      </c>
    </row>
    <row r="115">
      <c r="A115" s="1" t="str">
        <v>day-13-7</v>
      </c>
      <c r="B115" s="1" t="str">
        <v>day</v>
      </c>
      <c r="C115" s="1" t="str">
        <v>Week 13</v>
      </c>
      <c r="D115" s="1">
        <v>13</v>
      </c>
      <c r="E115" s="1" t="str">
        <v>Week 13 sunday (day 7)</v>
      </c>
      <c r="F115" s="1" t="str">
        <v>2.0h planned — Spaced repetition: re-solve 3 things you failed (60 min) | Week review and plan next week (30 min) | Light reading: DDIA or Fluent Python (30 min)</v>
      </c>
      <c r="G115" s="1">
        <v>0</v>
      </c>
      <c r="H115" s="1">
        <f>IFERROR(IF(B115="dsa",CHOOSE(G115+1,"Not started","Attempted","Solved with help","Solved unaided"),IF(OR(B115="bq",B115="res",B115="day"),CHOOSE(G115+1,"Not started","Done"),CHOOSE(G115+1,"Not started","In progress","Done"))),"invalid")</f>
      </c>
    </row>
    <row r="116">
      <c r="A116" s="1" t="str">
        <v>day-14-1</v>
      </c>
      <c r="B116" s="1" t="str">
        <v>day</v>
      </c>
      <c r="C116" s="1" t="str">
        <v>Week 14</v>
      </c>
      <c r="D116" s="1">
        <v>14</v>
      </c>
      <c r="E116" s="1" t="str">
        <v>Week 14 weekday (day 1)</v>
      </c>
      <c r="F116" s="1" t="str">
        <v>3.0h planned — DSA practice (90 min) | System design or LLD (45 min) | Python drills or STAR writing (30 min)</v>
      </c>
      <c r="G116" s="1">
        <v>0</v>
      </c>
      <c r="H116" s="1">
        <f>IFERROR(IF(B116="dsa",CHOOSE(G116+1,"Not started","Attempted","Solved with help","Solved unaided"),IF(OR(B116="bq",B116="res",B116="day"),CHOOSE(G116+1,"Not started","Done"),CHOOSE(G116+1,"Not started","In progress","Done"))),"invalid")</f>
      </c>
    </row>
    <row r="117">
      <c r="A117" s="1" t="str">
        <v>day-14-2</v>
      </c>
      <c r="B117" s="1" t="str">
        <v>day</v>
      </c>
      <c r="C117" s="1" t="str">
        <v>Week 14</v>
      </c>
      <c r="D117" s="1">
        <v>14</v>
      </c>
      <c r="E117" s="1" t="str">
        <v>Week 14 weekday (day 2)</v>
      </c>
      <c r="F117" s="1" t="str">
        <v>3.0h planned — DSA practice (90 min) | System design or LLD (45 min) | Python drills or STAR writing (30 min)</v>
      </c>
      <c r="G117" s="1">
        <v>0</v>
      </c>
      <c r="H117" s="1">
        <f>IFERROR(IF(B117="dsa",CHOOSE(G117+1,"Not started","Attempted","Solved with help","Solved unaided"),IF(OR(B117="bq",B117="res",B117="day"),CHOOSE(G117+1,"Not started","Done"),CHOOSE(G117+1,"Not started","In progress","Done"))),"invalid")</f>
      </c>
    </row>
    <row r="118">
      <c r="A118" s="1" t="str">
        <v>day-14-3</v>
      </c>
      <c r="B118" s="1" t="str">
        <v>day</v>
      </c>
      <c r="C118" s="1" t="str">
        <v>Week 14</v>
      </c>
      <c r="D118" s="1">
        <v>14</v>
      </c>
      <c r="E118" s="1" t="str">
        <v>Week 14 weekday (day 3)</v>
      </c>
      <c r="F118" s="1" t="str">
        <v>3.0h planned — DSA practice (90 min) | System design or LLD (45 min) | Python drills or STAR writing (30 min)</v>
      </c>
      <c r="G118" s="1">
        <v>0</v>
      </c>
      <c r="H118" s="1">
        <f>IFERROR(IF(B118="dsa",CHOOSE(G118+1,"Not started","Attempted","Solved with help","Solved unaided"),IF(OR(B118="bq",B118="res",B118="day"),CHOOSE(G118+1,"Not started","Done"),CHOOSE(G118+1,"Not started","In progress","Done"))),"invalid")</f>
      </c>
    </row>
    <row r="119">
      <c r="A119" s="1" t="str">
        <v>day-14-4</v>
      </c>
      <c r="B119" s="1" t="str">
        <v>day</v>
      </c>
      <c r="C119" s="1" t="str">
        <v>Week 14</v>
      </c>
      <c r="D119" s="1">
        <v>14</v>
      </c>
      <c r="E119" s="1" t="str">
        <v>Week 14 weekday (day 4)</v>
      </c>
      <c r="F119" s="1" t="str">
        <v>3.0h planned — DSA practice (90 min) | System design or LLD (45 min) | Python drills or STAR writing (30 min)</v>
      </c>
      <c r="G119" s="1">
        <v>0</v>
      </c>
      <c r="H119" s="1">
        <f>IFERROR(IF(B119="dsa",CHOOSE(G119+1,"Not started","Attempted","Solved with help","Solved unaided"),IF(OR(B119="bq",B119="res",B119="day"),CHOOSE(G119+1,"Not started","Done"),CHOOSE(G119+1,"Not started","In progress","Done"))),"invalid")</f>
      </c>
    </row>
    <row r="120">
      <c r="A120" s="1" t="str">
        <v>day-14-5</v>
      </c>
      <c r="B120" s="1" t="str">
        <v>day</v>
      </c>
      <c r="C120" s="1" t="str">
        <v>Week 14</v>
      </c>
      <c r="D120" s="1">
        <v>14</v>
      </c>
      <c r="E120" s="1" t="str">
        <v>Week 14 weekday (day 5)</v>
      </c>
      <c r="F120" s="1" t="str">
        <v>3.0h planned — DSA practice (90 min) | System design or LLD (45 min) | Python drills or STAR writing (30 min)</v>
      </c>
      <c r="G120" s="1">
        <v>0</v>
      </c>
      <c r="H120" s="1">
        <f>IFERROR(IF(B120="dsa",CHOOSE(G120+1,"Not started","Attempted","Solved with help","Solved unaided"),IF(OR(B120="bq",B120="res",B120="day"),CHOOSE(G120+1,"Not started","Done"),CHOOSE(G120+1,"Not started","In progress","Done"))),"invalid")</f>
      </c>
    </row>
    <row r="121">
      <c r="A121" s="1" t="str">
        <v>day-14-6</v>
      </c>
      <c r="B121" s="1" t="str">
        <v>day</v>
      </c>
      <c r="C121" s="1" t="str">
        <v>Week 14</v>
      </c>
      <c r="D121" s="1">
        <v>14</v>
      </c>
      <c r="E121" s="1" t="str">
        <v>Week 14 saturday (day 6)</v>
      </c>
      <c r="F121" s="1" t="str">
        <v>3.5h planned — Timed mock in a Google Doc, no IDE (90 min) | System design case study write-up (60 min) | Record and review one STAR story (30 min)</v>
      </c>
      <c r="G121" s="1">
        <v>0</v>
      </c>
      <c r="H121" s="1">
        <f>IFERROR(IF(B121="dsa",CHOOSE(G121+1,"Not started","Attempted","Solved with help","Solved unaided"),IF(OR(B121="bq",B121="res",B121="day"),CHOOSE(G121+1,"Not started","Done"),CHOOSE(G121+1,"Not started","In progress","Done"))),"invalid")</f>
      </c>
    </row>
    <row r="122">
      <c r="A122" s="1" t="str">
        <v>day-14-7</v>
      </c>
      <c r="B122" s="1" t="str">
        <v>day</v>
      </c>
      <c r="C122" s="1" t="str">
        <v>Week 14</v>
      </c>
      <c r="D122" s="1">
        <v>14</v>
      </c>
      <c r="E122" s="1" t="str">
        <v>Week 14 sunday (day 7)</v>
      </c>
      <c r="F122" s="1" t="str">
        <v>2.0h planned — Spaced repetition: re-solve 3 things you failed (60 min) | Week review and plan next week (30 min) | Light reading: DDIA or Fluent Python (30 min)</v>
      </c>
      <c r="G122" s="1">
        <v>0</v>
      </c>
      <c r="H122" s="1">
        <f>IFERROR(IF(B122="dsa",CHOOSE(G122+1,"Not started","Attempted","Solved with help","Solved unaided"),IF(OR(B122="bq",B122="res",B122="day"),CHOOSE(G122+1,"Not started","Done"),CHOOSE(G122+1,"Not started","In progress","Done"))),"invalid")</f>
      </c>
    </row>
    <row r="123">
      <c r="A123" s="1" t="str">
        <v>day-15-1</v>
      </c>
      <c r="B123" s="1" t="str">
        <v>day</v>
      </c>
      <c r="C123" s="1" t="str">
        <v>Week 15</v>
      </c>
      <c r="D123" s="1">
        <v>15</v>
      </c>
      <c r="E123" s="1" t="str">
        <v>Week 15 weekday (day 1)</v>
      </c>
      <c r="F123" s="1" t="str">
        <v>3.0h planned — DSA practice (90 min) | System design or LLD (45 min) | Python drills or STAR writing (30 min)</v>
      </c>
      <c r="G123" s="1">
        <v>0</v>
      </c>
      <c r="H123" s="1">
        <f>IFERROR(IF(B123="dsa",CHOOSE(G123+1,"Not started","Attempted","Solved with help","Solved unaided"),IF(OR(B123="bq",B123="res",B123="day"),CHOOSE(G123+1,"Not started","Done"),CHOOSE(G123+1,"Not started","In progress","Done"))),"invalid")</f>
      </c>
    </row>
    <row r="124">
      <c r="A124" s="1" t="str">
        <v>day-15-2</v>
      </c>
      <c r="B124" s="1" t="str">
        <v>day</v>
      </c>
      <c r="C124" s="1" t="str">
        <v>Week 15</v>
      </c>
      <c r="D124" s="1">
        <v>15</v>
      </c>
      <c r="E124" s="1" t="str">
        <v>Week 15 weekday (day 2)</v>
      </c>
      <c r="F124" s="1" t="str">
        <v>3.0h planned — DSA practice (90 min) | System design or LLD (45 min) | Python drills or STAR writing (30 min)</v>
      </c>
      <c r="G124" s="1">
        <v>0</v>
      </c>
      <c r="H124" s="1">
        <f>IFERROR(IF(B124="dsa",CHOOSE(G124+1,"Not started","Attempted","Solved with help","Solved unaided"),IF(OR(B124="bq",B124="res",B124="day"),CHOOSE(G124+1,"Not started","Done"),CHOOSE(G124+1,"Not started","In progress","Done"))),"invalid")</f>
      </c>
    </row>
    <row r="125">
      <c r="A125" s="1" t="str">
        <v>day-15-3</v>
      </c>
      <c r="B125" s="1" t="str">
        <v>day</v>
      </c>
      <c r="C125" s="1" t="str">
        <v>Week 15</v>
      </c>
      <c r="D125" s="1">
        <v>15</v>
      </c>
      <c r="E125" s="1" t="str">
        <v>Week 15 weekday (day 3)</v>
      </c>
      <c r="F125" s="1" t="str">
        <v>3.0h planned — DSA practice (90 min) | System design or LLD (45 min) | Python drills or STAR writing (30 min)</v>
      </c>
      <c r="G125" s="1">
        <v>0</v>
      </c>
      <c r="H125" s="1">
        <f>IFERROR(IF(B125="dsa",CHOOSE(G125+1,"Not started","Attempted","Solved with help","Solved unaided"),IF(OR(B125="bq",B125="res",B125="day"),CHOOSE(G125+1,"Not started","Done"),CHOOSE(G125+1,"Not started","In progress","Done"))),"invalid")</f>
      </c>
    </row>
    <row r="126">
      <c r="A126" s="1" t="str">
        <v>day-15-4</v>
      </c>
      <c r="B126" s="1" t="str">
        <v>day</v>
      </c>
      <c r="C126" s="1" t="str">
        <v>Week 15</v>
      </c>
      <c r="D126" s="1">
        <v>15</v>
      </c>
      <c r="E126" s="1" t="str">
        <v>Week 15 weekday (day 4)</v>
      </c>
      <c r="F126" s="1" t="str">
        <v>3.0h planned — DSA practice (90 min) | System design or LLD (45 min) | Python drills or STAR writing (30 min)</v>
      </c>
      <c r="G126" s="1">
        <v>0</v>
      </c>
      <c r="H126" s="1">
        <f>IFERROR(IF(B126="dsa",CHOOSE(G126+1,"Not started","Attempted","Solved with help","Solved unaided"),IF(OR(B126="bq",B126="res",B126="day"),CHOOSE(G126+1,"Not started","Done"),CHOOSE(G126+1,"Not started","In progress","Done"))),"invalid")</f>
      </c>
    </row>
    <row r="127">
      <c r="A127" s="1" t="str">
        <v>day-15-5</v>
      </c>
      <c r="B127" s="1" t="str">
        <v>day</v>
      </c>
      <c r="C127" s="1" t="str">
        <v>Week 15</v>
      </c>
      <c r="D127" s="1">
        <v>15</v>
      </c>
      <c r="E127" s="1" t="str">
        <v>Week 15 weekday (day 5)</v>
      </c>
      <c r="F127" s="1" t="str">
        <v>3.0h planned — DSA practice (90 min) | System design or LLD (45 min) | Python drills or STAR writing (30 min)</v>
      </c>
      <c r="G127" s="1">
        <v>0</v>
      </c>
      <c r="H127" s="1">
        <f>IFERROR(IF(B127="dsa",CHOOSE(G127+1,"Not started","Attempted","Solved with help","Solved unaided"),IF(OR(B127="bq",B127="res",B127="day"),CHOOSE(G127+1,"Not started","Done"),CHOOSE(G127+1,"Not started","In progress","Done"))),"invalid")</f>
      </c>
    </row>
    <row r="128">
      <c r="A128" s="1" t="str">
        <v>day-15-6</v>
      </c>
      <c r="B128" s="1" t="str">
        <v>day</v>
      </c>
      <c r="C128" s="1" t="str">
        <v>Week 15</v>
      </c>
      <c r="D128" s="1">
        <v>15</v>
      </c>
      <c r="E128" s="1" t="str">
        <v>Week 15 saturday (day 6)</v>
      </c>
      <c r="F128" s="1" t="str">
        <v>3.5h planned — Timed mock in a Google Doc, no IDE (90 min) | System design case study write-up (60 min) | Record and review one STAR story (30 min)</v>
      </c>
      <c r="G128" s="1">
        <v>0</v>
      </c>
      <c r="H128" s="1">
        <f>IFERROR(IF(B128="dsa",CHOOSE(G128+1,"Not started","Attempted","Solved with help","Solved unaided"),IF(OR(B128="bq",B128="res",B128="day"),CHOOSE(G128+1,"Not started","Done"),CHOOSE(G128+1,"Not started","In progress","Done"))),"invalid")</f>
      </c>
    </row>
    <row r="129">
      <c r="A129" s="1" t="str">
        <v>day-15-7</v>
      </c>
      <c r="B129" s="1" t="str">
        <v>day</v>
      </c>
      <c r="C129" s="1" t="str">
        <v>Week 15</v>
      </c>
      <c r="D129" s="1">
        <v>15</v>
      </c>
      <c r="E129" s="1" t="str">
        <v>Week 15 sunday (day 7)</v>
      </c>
      <c r="F129" s="1" t="str">
        <v>2.0h planned — Spaced repetition: re-solve 3 things you failed (60 min) | Week review and plan next week (30 min) | Light reading: DDIA or Fluent Python (30 min)</v>
      </c>
      <c r="G129" s="1">
        <v>0</v>
      </c>
      <c r="H129" s="1">
        <f>IFERROR(IF(B129="dsa",CHOOSE(G129+1,"Not started","Attempted","Solved with help","Solved unaided"),IF(OR(B129="bq",B129="res",B129="day"),CHOOSE(G129+1,"Not started","Done"),CHOOSE(G129+1,"Not started","In progress","Done"))),"invalid")</f>
      </c>
    </row>
    <row r="130">
      <c r="A130" s="1" t="str">
        <v>day-16-1</v>
      </c>
      <c r="B130" s="1" t="str">
        <v>day</v>
      </c>
      <c r="C130" s="1" t="str">
        <v>Week 16</v>
      </c>
      <c r="D130" s="1">
        <v>16</v>
      </c>
      <c r="E130" s="1" t="str">
        <v>Week 16 weekday (day 1)</v>
      </c>
      <c r="F130" s="1" t="str">
        <v>3.0h planned — DSA practice (90 min) | System design or LLD (45 min) | Python drills or STAR writing (30 min)</v>
      </c>
      <c r="G130" s="1">
        <v>0</v>
      </c>
      <c r="H130" s="1">
        <f>IFERROR(IF(B130="dsa",CHOOSE(G130+1,"Not started","Attempted","Solved with help","Solved unaided"),IF(OR(B130="bq",B130="res",B130="day"),CHOOSE(G130+1,"Not started","Done"),CHOOSE(G130+1,"Not started","In progress","Done"))),"invalid")</f>
      </c>
    </row>
    <row r="131">
      <c r="A131" s="1" t="str">
        <v>day-16-2</v>
      </c>
      <c r="B131" s="1" t="str">
        <v>day</v>
      </c>
      <c r="C131" s="1" t="str">
        <v>Week 16</v>
      </c>
      <c r="D131" s="1">
        <v>16</v>
      </c>
      <c r="E131" s="1" t="str">
        <v>Week 16 weekday (day 2)</v>
      </c>
      <c r="F131" s="1" t="str">
        <v>3.0h planned — DSA practice (90 min) | System design or LLD (45 min) | Python drills or STAR writing (30 min)</v>
      </c>
      <c r="G131" s="1">
        <v>0</v>
      </c>
      <c r="H131" s="1">
        <f>IFERROR(IF(B131="dsa",CHOOSE(G131+1,"Not started","Attempted","Solved with help","Solved unaided"),IF(OR(B131="bq",B131="res",B131="day"),CHOOSE(G131+1,"Not started","Done"),CHOOSE(G131+1,"Not started","In progress","Done"))),"invalid")</f>
      </c>
    </row>
    <row r="132">
      <c r="A132" s="1" t="str">
        <v>day-16-3</v>
      </c>
      <c r="B132" s="1" t="str">
        <v>day</v>
      </c>
      <c r="C132" s="1" t="str">
        <v>Week 16</v>
      </c>
      <c r="D132" s="1">
        <v>16</v>
      </c>
      <c r="E132" s="1" t="str">
        <v>Week 16 weekday (day 3)</v>
      </c>
      <c r="F132" s="1" t="str">
        <v>3.0h planned — DSA practice (90 min) | System design or LLD (45 min) | Python drills or STAR writing (30 min)</v>
      </c>
      <c r="G132" s="1">
        <v>0</v>
      </c>
      <c r="H132" s="1">
        <f>IFERROR(IF(B132="dsa",CHOOSE(G132+1,"Not started","Attempted","Solved with help","Solved unaided"),IF(OR(B132="bq",B132="res",B132="day"),CHOOSE(G132+1,"Not started","Done"),CHOOSE(G132+1,"Not started","In progress","Done"))),"invalid")</f>
      </c>
    </row>
    <row r="133">
      <c r="A133" s="1" t="str">
        <v>day-16-4</v>
      </c>
      <c r="B133" s="1" t="str">
        <v>day</v>
      </c>
      <c r="C133" s="1" t="str">
        <v>Week 16</v>
      </c>
      <c r="D133" s="1">
        <v>16</v>
      </c>
      <c r="E133" s="1" t="str">
        <v>Week 16 weekday (day 4)</v>
      </c>
      <c r="F133" s="1" t="str">
        <v>3.0h planned — DSA practice (90 min) | System design or LLD (45 min) | Python drills or STAR writing (30 min)</v>
      </c>
      <c r="G133" s="1">
        <v>0</v>
      </c>
      <c r="H133" s="1">
        <f>IFERROR(IF(B133="dsa",CHOOSE(G133+1,"Not started","Attempted","Solved with help","Solved unaided"),IF(OR(B133="bq",B133="res",B133="day"),CHOOSE(G133+1,"Not started","Done"),CHOOSE(G133+1,"Not started","In progress","Done"))),"invalid")</f>
      </c>
    </row>
    <row r="134">
      <c r="A134" s="1" t="str">
        <v>day-16-5</v>
      </c>
      <c r="B134" s="1" t="str">
        <v>day</v>
      </c>
      <c r="C134" s="1" t="str">
        <v>Week 16</v>
      </c>
      <c r="D134" s="1">
        <v>16</v>
      </c>
      <c r="E134" s="1" t="str">
        <v>Week 16 weekday (day 5)</v>
      </c>
      <c r="F134" s="1" t="str">
        <v>3.0h planned — DSA practice (90 min) | System design or LLD (45 min) | Python drills or STAR writing (30 min)</v>
      </c>
      <c r="G134" s="1">
        <v>0</v>
      </c>
      <c r="H134" s="1">
        <f>IFERROR(IF(B134="dsa",CHOOSE(G134+1,"Not started","Attempted","Solved with help","Solved unaided"),IF(OR(B134="bq",B134="res",B134="day"),CHOOSE(G134+1,"Not started","Done"),CHOOSE(G134+1,"Not started","In progress","Done"))),"invalid")</f>
      </c>
    </row>
    <row r="135">
      <c r="A135" s="1" t="str">
        <v>day-16-6</v>
      </c>
      <c r="B135" s="1" t="str">
        <v>day</v>
      </c>
      <c r="C135" s="1" t="str">
        <v>Week 16</v>
      </c>
      <c r="D135" s="1">
        <v>16</v>
      </c>
      <c r="E135" s="1" t="str">
        <v>Week 16 saturday (day 6)</v>
      </c>
      <c r="F135" s="1" t="str">
        <v>3.5h planned — Timed mock in a Google Doc, no IDE (90 min) | System design case study write-up (60 min) | Record and review one STAR story (30 min)</v>
      </c>
      <c r="G135" s="1">
        <v>0</v>
      </c>
      <c r="H135" s="1">
        <f>IFERROR(IF(B135="dsa",CHOOSE(G135+1,"Not started","Attempted","Solved with help","Solved unaided"),IF(OR(B135="bq",B135="res",B135="day"),CHOOSE(G135+1,"Not started","Done"),CHOOSE(G135+1,"Not started","In progress","Done"))),"invalid")</f>
      </c>
    </row>
    <row r="136">
      <c r="A136" s="1" t="str">
        <v>day-16-7</v>
      </c>
      <c r="B136" s="1" t="str">
        <v>day</v>
      </c>
      <c r="C136" s="1" t="str">
        <v>Week 16</v>
      </c>
      <c r="D136" s="1">
        <v>16</v>
      </c>
      <c r="E136" s="1" t="str">
        <v>Week 16 sunday (day 7)</v>
      </c>
      <c r="F136" s="1" t="str">
        <v>2.0h planned — Spaced repetition: re-solve 3 things you failed (60 min) | Week review and plan next week (30 min) | Light reading: DDIA or Fluent Python (30 min)</v>
      </c>
      <c r="G136" s="1">
        <v>0</v>
      </c>
      <c r="H136" s="1">
        <f>IFERROR(IF(B136="dsa",CHOOSE(G136+1,"Not started","Attempted","Solved with help","Solved unaided"),IF(OR(B136="bq",B136="res",B136="day"),CHOOSE(G136+1,"Not started","Done"),CHOOSE(G136+1,"Not started","In progress","Done"))),"invalid")</f>
      </c>
    </row>
    <row r="137">
      <c r="A137" s="1" t="str">
        <v>day-17-1</v>
      </c>
      <c r="B137" s="1" t="str">
        <v>day</v>
      </c>
      <c r="C137" s="1" t="str">
        <v>Week 17</v>
      </c>
      <c r="D137" s="1">
        <v>17</v>
      </c>
      <c r="E137" s="1" t="str">
        <v>Week 17 weekday (day 1)</v>
      </c>
      <c r="F137" s="1" t="str">
        <v>3.0h planned — DSA practice (90 min) | System design or LLD (45 min) | Python drills or STAR writing (30 min)</v>
      </c>
      <c r="G137" s="1">
        <v>0</v>
      </c>
      <c r="H137" s="1">
        <f>IFERROR(IF(B137="dsa",CHOOSE(G137+1,"Not started","Attempted","Solved with help","Solved unaided"),IF(OR(B137="bq",B137="res",B137="day"),CHOOSE(G137+1,"Not started","Done"),CHOOSE(G137+1,"Not started","In progress","Done"))),"invalid")</f>
      </c>
    </row>
    <row r="138">
      <c r="A138" s="1" t="str">
        <v>day-17-2</v>
      </c>
      <c r="B138" s="1" t="str">
        <v>day</v>
      </c>
      <c r="C138" s="1" t="str">
        <v>Week 17</v>
      </c>
      <c r="D138" s="1">
        <v>17</v>
      </c>
      <c r="E138" s="1" t="str">
        <v>Week 17 weekday (day 2)</v>
      </c>
      <c r="F138" s="1" t="str">
        <v>3.0h planned — DSA practice (90 min) | System design or LLD (45 min) | Python drills or STAR writing (30 min)</v>
      </c>
      <c r="G138" s="1">
        <v>0</v>
      </c>
      <c r="H138" s="1">
        <f>IFERROR(IF(B138="dsa",CHOOSE(G138+1,"Not started","Attempted","Solved with help","Solved unaided"),IF(OR(B138="bq",B138="res",B138="day"),CHOOSE(G138+1,"Not started","Done"),CHOOSE(G138+1,"Not started","In progress","Done"))),"invalid")</f>
      </c>
    </row>
    <row r="139">
      <c r="A139" s="1" t="str">
        <v>day-17-3</v>
      </c>
      <c r="B139" s="1" t="str">
        <v>day</v>
      </c>
      <c r="C139" s="1" t="str">
        <v>Week 17</v>
      </c>
      <c r="D139" s="1">
        <v>17</v>
      </c>
      <c r="E139" s="1" t="str">
        <v>Week 17 weekday (day 3)</v>
      </c>
      <c r="F139" s="1" t="str">
        <v>3.0h planned — DSA practice (90 min) | System design or LLD (45 min) | Python drills or STAR writing (30 min)</v>
      </c>
      <c r="G139" s="1">
        <v>0</v>
      </c>
      <c r="H139" s="1">
        <f>IFERROR(IF(B139="dsa",CHOOSE(G139+1,"Not started","Attempted","Solved with help","Solved unaided"),IF(OR(B139="bq",B139="res",B139="day"),CHOOSE(G139+1,"Not started","Done"),CHOOSE(G139+1,"Not started","In progress","Done"))),"invalid")</f>
      </c>
    </row>
    <row r="140">
      <c r="A140" s="1" t="str">
        <v>day-17-4</v>
      </c>
      <c r="B140" s="1" t="str">
        <v>day</v>
      </c>
      <c r="C140" s="1" t="str">
        <v>Week 17</v>
      </c>
      <c r="D140" s="1">
        <v>17</v>
      </c>
      <c r="E140" s="1" t="str">
        <v>Week 17 weekday (day 4)</v>
      </c>
      <c r="F140" s="1" t="str">
        <v>3.0h planned — DSA practice (90 min) | System design or LLD (45 min) | Python drills or STAR writing (30 min)</v>
      </c>
      <c r="G140" s="1">
        <v>0</v>
      </c>
      <c r="H140" s="1">
        <f>IFERROR(IF(B140="dsa",CHOOSE(G140+1,"Not started","Attempted","Solved with help","Solved unaided"),IF(OR(B140="bq",B140="res",B140="day"),CHOOSE(G140+1,"Not started","Done"),CHOOSE(G140+1,"Not started","In progress","Done"))),"invalid")</f>
      </c>
    </row>
    <row r="141">
      <c r="A141" s="1" t="str">
        <v>day-17-5</v>
      </c>
      <c r="B141" s="1" t="str">
        <v>day</v>
      </c>
      <c r="C141" s="1" t="str">
        <v>Week 17</v>
      </c>
      <c r="D141" s="1">
        <v>17</v>
      </c>
      <c r="E141" s="1" t="str">
        <v>Week 17 weekday (day 5)</v>
      </c>
      <c r="F141" s="1" t="str">
        <v>3.0h planned — DSA practice (90 min) | System design or LLD (45 min) | Python drills or STAR writing (30 min)</v>
      </c>
      <c r="G141" s="1">
        <v>0</v>
      </c>
      <c r="H141" s="1">
        <f>IFERROR(IF(B141="dsa",CHOOSE(G141+1,"Not started","Attempted","Solved with help","Solved unaided"),IF(OR(B141="bq",B141="res",B141="day"),CHOOSE(G141+1,"Not started","Done"),CHOOSE(G141+1,"Not started","In progress","Done"))),"invalid")</f>
      </c>
    </row>
    <row r="142">
      <c r="A142" s="1" t="str">
        <v>day-17-6</v>
      </c>
      <c r="B142" s="1" t="str">
        <v>day</v>
      </c>
      <c r="C142" s="1" t="str">
        <v>Week 17</v>
      </c>
      <c r="D142" s="1">
        <v>17</v>
      </c>
      <c r="E142" s="1" t="str">
        <v>Week 17 saturday (day 6)</v>
      </c>
      <c r="F142" s="1" t="str">
        <v>3.5h planned — Timed mock in a Google Doc, no IDE (90 min) | System design case study write-up (60 min) | Record and review one STAR story (30 min)</v>
      </c>
      <c r="G142" s="1">
        <v>0</v>
      </c>
      <c r="H142" s="1">
        <f>IFERROR(IF(B142="dsa",CHOOSE(G142+1,"Not started","Attempted","Solved with help","Solved unaided"),IF(OR(B142="bq",B142="res",B142="day"),CHOOSE(G142+1,"Not started","Done"),CHOOSE(G142+1,"Not started","In progress","Done"))),"invalid")</f>
      </c>
    </row>
    <row r="143">
      <c r="A143" s="1" t="str">
        <v>day-17-7</v>
      </c>
      <c r="B143" s="1" t="str">
        <v>day</v>
      </c>
      <c r="C143" s="1" t="str">
        <v>Week 17</v>
      </c>
      <c r="D143" s="1">
        <v>17</v>
      </c>
      <c r="E143" s="1" t="str">
        <v>Week 17 sunday (day 7)</v>
      </c>
      <c r="F143" s="1" t="str">
        <v>2.0h planned — Spaced repetition: re-solve 3 things you failed (60 min) | Week review and plan next week (30 min) | Light reading: DDIA or Fluent Python (30 min)</v>
      </c>
      <c r="G143" s="1">
        <v>0</v>
      </c>
      <c r="H143" s="1">
        <f>IFERROR(IF(B143="dsa",CHOOSE(G143+1,"Not started","Attempted","Solved with help","Solved unaided"),IF(OR(B143="bq",B143="res",B143="day"),CHOOSE(G143+1,"Not started","Done"),CHOOSE(G143+1,"Not started","In progress","Done"))),"invalid")</f>
      </c>
    </row>
    <row r="144">
      <c r="A144" s="1" t="str">
        <v>day-18-1</v>
      </c>
      <c r="B144" s="1" t="str">
        <v>day</v>
      </c>
      <c r="C144" s="1" t="str">
        <v>Week 18</v>
      </c>
      <c r="D144" s="1">
        <v>18</v>
      </c>
      <c r="E144" s="1" t="str">
        <v>Week 18 weekday (day 1)</v>
      </c>
      <c r="F144" s="1" t="str">
        <v>3.0h planned — DSA practice (90 min) | System design or LLD (45 min) | Python drills or STAR writing (30 min)</v>
      </c>
      <c r="G144" s="1">
        <v>0</v>
      </c>
      <c r="H144" s="1">
        <f>IFERROR(IF(B144="dsa",CHOOSE(G144+1,"Not started","Attempted","Solved with help","Solved unaided"),IF(OR(B144="bq",B144="res",B144="day"),CHOOSE(G144+1,"Not started","Done"),CHOOSE(G144+1,"Not started","In progress","Done"))),"invalid")</f>
      </c>
    </row>
    <row r="145">
      <c r="A145" s="1" t="str">
        <v>day-18-2</v>
      </c>
      <c r="B145" s="1" t="str">
        <v>day</v>
      </c>
      <c r="C145" s="1" t="str">
        <v>Week 18</v>
      </c>
      <c r="D145" s="1">
        <v>18</v>
      </c>
      <c r="E145" s="1" t="str">
        <v>Week 18 weekday (day 2)</v>
      </c>
      <c r="F145" s="1" t="str">
        <v>3.0h planned — DSA practice (90 min) | System design or LLD (45 min) | Python drills or STAR writing (30 min)</v>
      </c>
      <c r="G145" s="1">
        <v>0</v>
      </c>
      <c r="H145" s="1">
        <f>IFERROR(IF(B145="dsa",CHOOSE(G145+1,"Not started","Attempted","Solved with help","Solved unaided"),IF(OR(B145="bq",B145="res",B145="day"),CHOOSE(G145+1,"Not started","Done"),CHOOSE(G145+1,"Not started","In progress","Done"))),"invalid")</f>
      </c>
    </row>
    <row r="146">
      <c r="A146" s="1" t="str">
        <v>day-18-3</v>
      </c>
      <c r="B146" s="1" t="str">
        <v>day</v>
      </c>
      <c r="C146" s="1" t="str">
        <v>Week 18</v>
      </c>
      <c r="D146" s="1">
        <v>18</v>
      </c>
      <c r="E146" s="1" t="str">
        <v>Week 18 weekday (day 3)</v>
      </c>
      <c r="F146" s="1" t="str">
        <v>3.0h planned — DSA practice (90 min) | System design or LLD (45 min) | Python drills or STAR writing (30 min)</v>
      </c>
      <c r="G146" s="1">
        <v>0</v>
      </c>
      <c r="H146" s="1">
        <f>IFERROR(IF(B146="dsa",CHOOSE(G146+1,"Not started","Attempted","Solved with help","Solved unaided"),IF(OR(B146="bq",B146="res",B146="day"),CHOOSE(G146+1,"Not started","Done"),CHOOSE(G146+1,"Not started","In progress","Done"))),"invalid")</f>
      </c>
    </row>
    <row r="147">
      <c r="A147" s="1" t="str">
        <v>day-18-4</v>
      </c>
      <c r="B147" s="1" t="str">
        <v>day</v>
      </c>
      <c r="C147" s="1" t="str">
        <v>Week 18</v>
      </c>
      <c r="D147" s="1">
        <v>18</v>
      </c>
      <c r="E147" s="1" t="str">
        <v>Week 18 weekday (day 4)</v>
      </c>
      <c r="F147" s="1" t="str">
        <v>3.0h planned — DSA practice (90 min) | System design or LLD (45 min) | Python drills or STAR writing (30 min)</v>
      </c>
      <c r="G147" s="1">
        <v>0</v>
      </c>
      <c r="H147" s="1">
        <f>IFERROR(IF(B147="dsa",CHOOSE(G147+1,"Not started","Attempted","Solved with help","Solved unaided"),IF(OR(B147="bq",B147="res",B147="day"),CHOOSE(G147+1,"Not started","Done"),CHOOSE(G147+1,"Not started","In progress","Done"))),"invalid")</f>
      </c>
    </row>
    <row r="148">
      <c r="A148" s="1" t="str">
        <v>day-18-5</v>
      </c>
      <c r="B148" s="1" t="str">
        <v>day</v>
      </c>
      <c r="C148" s="1" t="str">
        <v>Week 18</v>
      </c>
      <c r="D148" s="1">
        <v>18</v>
      </c>
      <c r="E148" s="1" t="str">
        <v>Week 18 weekday (day 5)</v>
      </c>
      <c r="F148" s="1" t="str">
        <v>3.0h planned — DSA practice (90 min) | System design or LLD (45 min) | Python drills or STAR writing (30 min)</v>
      </c>
      <c r="G148" s="1">
        <v>0</v>
      </c>
      <c r="H148" s="1">
        <f>IFERROR(IF(B148="dsa",CHOOSE(G148+1,"Not started","Attempted","Solved with help","Solved unaided"),IF(OR(B148="bq",B148="res",B148="day"),CHOOSE(G148+1,"Not started","Done"),CHOOSE(G148+1,"Not started","In progress","Done"))),"invalid")</f>
      </c>
    </row>
    <row r="149">
      <c r="A149" s="1" t="str">
        <v>day-18-6</v>
      </c>
      <c r="B149" s="1" t="str">
        <v>day</v>
      </c>
      <c r="C149" s="1" t="str">
        <v>Week 18</v>
      </c>
      <c r="D149" s="1">
        <v>18</v>
      </c>
      <c r="E149" s="1" t="str">
        <v>Week 18 saturday (day 6)</v>
      </c>
      <c r="F149" s="1" t="str">
        <v>3.5h planned — Timed mock in a Google Doc, no IDE (90 min) | System design case study write-up (60 min) | Record and review one STAR story (30 min)</v>
      </c>
      <c r="G149" s="1">
        <v>0</v>
      </c>
      <c r="H149" s="1">
        <f>IFERROR(IF(B149="dsa",CHOOSE(G149+1,"Not started","Attempted","Solved with help","Solved unaided"),IF(OR(B149="bq",B149="res",B149="day"),CHOOSE(G149+1,"Not started","Done"),CHOOSE(G149+1,"Not started","In progress","Done"))),"invalid")</f>
      </c>
    </row>
    <row r="150">
      <c r="A150" s="1" t="str">
        <v>day-18-7</v>
      </c>
      <c r="B150" s="1" t="str">
        <v>day</v>
      </c>
      <c r="C150" s="1" t="str">
        <v>Week 18</v>
      </c>
      <c r="D150" s="1">
        <v>18</v>
      </c>
      <c r="E150" s="1" t="str">
        <v>Week 18 sunday (day 7)</v>
      </c>
      <c r="F150" s="1" t="str">
        <v>2.0h planned — Spaced repetition: re-solve 3 things you failed (60 min) | Week review and plan next week (30 min) | Light reading: DDIA or Fluent Python (30 min)</v>
      </c>
      <c r="G150" s="1">
        <v>0</v>
      </c>
      <c r="H150" s="1">
        <f>IFERROR(IF(B150="dsa",CHOOSE(G150+1,"Not started","Attempted","Solved with help","Solved unaided"),IF(OR(B150="bq",B150="res",B150="day"),CHOOSE(G150+1,"Not started","Done"),CHOOSE(G150+1,"Not started","In progress","Done"))),"invalid")</f>
      </c>
    </row>
    <row r="151">
      <c r="A151" s="1" t="str">
        <v>day-19-1</v>
      </c>
      <c r="B151" s="1" t="str">
        <v>day</v>
      </c>
      <c r="C151" s="1" t="str">
        <v>Week 19</v>
      </c>
      <c r="D151" s="1">
        <v>19</v>
      </c>
      <c r="E151" s="1" t="str">
        <v>Week 19 weekday (day 1)</v>
      </c>
      <c r="F151" s="1" t="str">
        <v>3.0h planned — DSA practice (90 min) | System design or LLD (45 min) | Python drills or STAR writing (30 min)</v>
      </c>
      <c r="G151" s="1">
        <v>0</v>
      </c>
      <c r="H151" s="1">
        <f>IFERROR(IF(B151="dsa",CHOOSE(G151+1,"Not started","Attempted","Solved with help","Solved unaided"),IF(OR(B151="bq",B151="res",B151="day"),CHOOSE(G151+1,"Not started","Done"),CHOOSE(G151+1,"Not started","In progress","Done"))),"invalid")</f>
      </c>
    </row>
    <row r="152">
      <c r="A152" s="1" t="str">
        <v>day-19-2</v>
      </c>
      <c r="B152" s="1" t="str">
        <v>day</v>
      </c>
      <c r="C152" s="1" t="str">
        <v>Week 19</v>
      </c>
      <c r="D152" s="1">
        <v>19</v>
      </c>
      <c r="E152" s="1" t="str">
        <v>Week 19 weekday (day 2)</v>
      </c>
      <c r="F152" s="1" t="str">
        <v>3.0h planned — DSA practice (90 min) | System design or LLD (45 min) | Python drills or STAR writing (30 min)</v>
      </c>
      <c r="G152" s="1">
        <v>0</v>
      </c>
      <c r="H152" s="1">
        <f>IFERROR(IF(B152="dsa",CHOOSE(G152+1,"Not started","Attempted","Solved with help","Solved unaided"),IF(OR(B152="bq",B152="res",B152="day"),CHOOSE(G152+1,"Not started","Done"),CHOOSE(G152+1,"Not started","In progress","Done"))),"invalid")</f>
      </c>
    </row>
    <row r="153">
      <c r="A153" s="1" t="str">
        <v>day-19-3</v>
      </c>
      <c r="B153" s="1" t="str">
        <v>day</v>
      </c>
      <c r="C153" s="1" t="str">
        <v>Week 19</v>
      </c>
      <c r="D153" s="1">
        <v>19</v>
      </c>
      <c r="E153" s="1" t="str">
        <v>Week 19 weekday (day 3)</v>
      </c>
      <c r="F153" s="1" t="str">
        <v>3.0h planned — DSA practice (90 min) | System design or LLD (45 min) | Python drills or STAR writing (30 min)</v>
      </c>
      <c r="G153" s="1">
        <v>0</v>
      </c>
      <c r="H153" s="1">
        <f>IFERROR(IF(B153="dsa",CHOOSE(G153+1,"Not started","Attempted","Solved with help","Solved unaided"),IF(OR(B153="bq",B153="res",B153="day"),CHOOSE(G153+1,"Not started","Done"),CHOOSE(G153+1,"Not started","In progress","Done"))),"invalid")</f>
      </c>
    </row>
    <row r="154">
      <c r="A154" s="1" t="str">
        <v>day-19-4</v>
      </c>
      <c r="B154" s="1" t="str">
        <v>day</v>
      </c>
      <c r="C154" s="1" t="str">
        <v>Week 19</v>
      </c>
      <c r="D154" s="1">
        <v>19</v>
      </c>
      <c r="E154" s="1" t="str">
        <v>Week 19 weekday (day 4)</v>
      </c>
      <c r="F154" s="1" t="str">
        <v>3.0h planned — DSA practice (90 min) | System design or LLD (45 min) | Python drills or STAR writing (30 min)</v>
      </c>
      <c r="G154" s="1">
        <v>0</v>
      </c>
      <c r="H154" s="1">
        <f>IFERROR(IF(B154="dsa",CHOOSE(G154+1,"Not started","Attempted","Solved with help","Solved unaided"),IF(OR(B154="bq",B154="res",B154="day"),CHOOSE(G154+1,"Not started","Done"),CHOOSE(G154+1,"Not started","In progress","Done"))),"invalid")</f>
      </c>
    </row>
    <row r="155">
      <c r="A155" s="1" t="str">
        <v>day-19-5</v>
      </c>
      <c r="B155" s="1" t="str">
        <v>day</v>
      </c>
      <c r="C155" s="1" t="str">
        <v>Week 19</v>
      </c>
      <c r="D155" s="1">
        <v>19</v>
      </c>
      <c r="E155" s="1" t="str">
        <v>Week 19 weekday (day 5)</v>
      </c>
      <c r="F155" s="1" t="str">
        <v>3.0h planned — DSA practice (90 min) | System design or LLD (45 min) | Python drills or STAR writing (30 min)</v>
      </c>
      <c r="G155" s="1">
        <v>0</v>
      </c>
      <c r="H155" s="1">
        <f>IFERROR(IF(B155="dsa",CHOOSE(G155+1,"Not started","Attempted","Solved with help","Solved unaided"),IF(OR(B155="bq",B155="res",B155="day"),CHOOSE(G155+1,"Not started","Done"),CHOOSE(G155+1,"Not started","In progress","Done"))),"invalid")</f>
      </c>
    </row>
    <row r="156">
      <c r="A156" s="1" t="str">
        <v>day-19-6</v>
      </c>
      <c r="B156" s="1" t="str">
        <v>day</v>
      </c>
      <c r="C156" s="1" t="str">
        <v>Week 19</v>
      </c>
      <c r="D156" s="1">
        <v>19</v>
      </c>
      <c r="E156" s="1" t="str">
        <v>Week 19 saturday (day 6)</v>
      </c>
      <c r="F156" s="1" t="str">
        <v>3.5h planned — Timed mock in a Google Doc, no IDE (90 min) | System design case study write-up (60 min) | Record and review one STAR story (30 min)</v>
      </c>
      <c r="G156" s="1">
        <v>0</v>
      </c>
      <c r="H156" s="1">
        <f>IFERROR(IF(B156="dsa",CHOOSE(G156+1,"Not started","Attempted","Solved with help","Solved unaided"),IF(OR(B156="bq",B156="res",B156="day"),CHOOSE(G156+1,"Not started","Done"),CHOOSE(G156+1,"Not started","In progress","Done"))),"invalid")</f>
      </c>
    </row>
    <row r="157">
      <c r="A157" s="1" t="str">
        <v>day-19-7</v>
      </c>
      <c r="B157" s="1" t="str">
        <v>day</v>
      </c>
      <c r="C157" s="1" t="str">
        <v>Week 19</v>
      </c>
      <c r="D157" s="1">
        <v>19</v>
      </c>
      <c r="E157" s="1" t="str">
        <v>Week 19 sunday (day 7)</v>
      </c>
      <c r="F157" s="1" t="str">
        <v>2.0h planned — Spaced repetition: re-solve 3 things you failed (60 min) | Week review and plan next week (30 min) | Light reading: DDIA or Fluent Python (30 min)</v>
      </c>
      <c r="G157" s="1">
        <v>0</v>
      </c>
      <c r="H157" s="1">
        <f>IFERROR(IF(B157="dsa",CHOOSE(G157+1,"Not started","Attempted","Solved with help","Solved unaided"),IF(OR(B157="bq",B157="res",B157="day"),CHOOSE(G157+1,"Not started","Done"),CHOOSE(G157+1,"Not started","In progress","Done"))),"invalid")</f>
      </c>
    </row>
    <row r="158">
      <c r="A158" s="1" t="str">
        <v>day-20-1</v>
      </c>
      <c r="B158" s="1" t="str">
        <v>day</v>
      </c>
      <c r="C158" s="1" t="str">
        <v>Week 20</v>
      </c>
      <c r="D158" s="1">
        <v>20</v>
      </c>
      <c r="E158" s="1" t="str">
        <v>Week 20 weekday (day 1)</v>
      </c>
      <c r="F158" s="1" t="str">
        <v>3.0h planned — DSA practice (90 min) | System design or LLD (45 min) | Python drills or STAR writing (30 min)</v>
      </c>
      <c r="G158" s="1">
        <v>0</v>
      </c>
      <c r="H158" s="1">
        <f>IFERROR(IF(B158="dsa",CHOOSE(G158+1,"Not started","Attempted","Solved with help","Solved unaided"),IF(OR(B158="bq",B158="res",B158="day"),CHOOSE(G158+1,"Not started","Done"),CHOOSE(G158+1,"Not started","In progress","Done"))),"invalid")</f>
      </c>
    </row>
    <row r="159">
      <c r="A159" s="1" t="str">
        <v>day-20-2</v>
      </c>
      <c r="B159" s="1" t="str">
        <v>day</v>
      </c>
      <c r="C159" s="1" t="str">
        <v>Week 20</v>
      </c>
      <c r="D159" s="1">
        <v>20</v>
      </c>
      <c r="E159" s="1" t="str">
        <v>Week 20 weekday (day 2)</v>
      </c>
      <c r="F159" s="1" t="str">
        <v>3.0h planned — DSA practice (90 min) | System design or LLD (45 min) | Python drills or STAR writing (30 min)</v>
      </c>
      <c r="G159" s="1">
        <v>0</v>
      </c>
      <c r="H159" s="1">
        <f>IFERROR(IF(B159="dsa",CHOOSE(G159+1,"Not started","Attempted","Solved with help","Solved unaided"),IF(OR(B159="bq",B159="res",B159="day"),CHOOSE(G159+1,"Not started","Done"),CHOOSE(G159+1,"Not started","In progress","Done"))),"invalid")</f>
      </c>
    </row>
    <row r="160">
      <c r="A160" s="1" t="str">
        <v>day-20-3</v>
      </c>
      <c r="B160" s="1" t="str">
        <v>day</v>
      </c>
      <c r="C160" s="1" t="str">
        <v>Week 20</v>
      </c>
      <c r="D160" s="1">
        <v>20</v>
      </c>
      <c r="E160" s="1" t="str">
        <v>Week 20 weekday (day 3)</v>
      </c>
      <c r="F160" s="1" t="str">
        <v>3.0h planned — DSA practice (90 min) | System design or LLD (45 min) | Python drills or STAR writing (30 min)</v>
      </c>
      <c r="G160" s="1">
        <v>0</v>
      </c>
      <c r="H160" s="1">
        <f>IFERROR(IF(B160="dsa",CHOOSE(G160+1,"Not started","Attempted","Solved with help","Solved unaided"),IF(OR(B160="bq",B160="res",B160="day"),CHOOSE(G160+1,"Not started","Done"),CHOOSE(G160+1,"Not started","In progress","Done"))),"invalid")</f>
      </c>
    </row>
    <row r="161">
      <c r="A161" s="1" t="str">
        <v>day-20-4</v>
      </c>
      <c r="B161" s="1" t="str">
        <v>day</v>
      </c>
      <c r="C161" s="1" t="str">
        <v>Week 20</v>
      </c>
      <c r="D161" s="1">
        <v>20</v>
      </c>
      <c r="E161" s="1" t="str">
        <v>Week 20 weekday (day 4)</v>
      </c>
      <c r="F161" s="1" t="str">
        <v>3.0h planned — DSA practice (90 min) | System design or LLD (45 min) | Python drills or STAR writing (30 min)</v>
      </c>
      <c r="G161" s="1">
        <v>0</v>
      </c>
      <c r="H161" s="1">
        <f>IFERROR(IF(B161="dsa",CHOOSE(G161+1,"Not started","Attempted","Solved with help","Solved unaided"),IF(OR(B161="bq",B161="res",B161="day"),CHOOSE(G161+1,"Not started","Done"),CHOOSE(G161+1,"Not started","In progress","Done"))),"invalid")</f>
      </c>
    </row>
    <row r="162">
      <c r="A162" s="1" t="str">
        <v>day-20-5</v>
      </c>
      <c r="B162" s="1" t="str">
        <v>day</v>
      </c>
      <c r="C162" s="1" t="str">
        <v>Week 20</v>
      </c>
      <c r="D162" s="1">
        <v>20</v>
      </c>
      <c r="E162" s="1" t="str">
        <v>Week 20 weekday (day 5)</v>
      </c>
      <c r="F162" s="1" t="str">
        <v>3.0h planned — DSA practice (90 min) | System design or LLD (45 min) | Python drills or STAR writing (30 min)</v>
      </c>
      <c r="G162" s="1">
        <v>0</v>
      </c>
      <c r="H162" s="1">
        <f>IFERROR(IF(B162="dsa",CHOOSE(G162+1,"Not started","Attempted","Solved with help","Solved unaided"),IF(OR(B162="bq",B162="res",B162="day"),CHOOSE(G162+1,"Not started","Done"),CHOOSE(G162+1,"Not started","In progress","Done"))),"invalid")</f>
      </c>
    </row>
    <row r="163">
      <c r="A163" s="1" t="str">
        <v>day-20-6</v>
      </c>
      <c r="B163" s="1" t="str">
        <v>day</v>
      </c>
      <c r="C163" s="1" t="str">
        <v>Week 20</v>
      </c>
      <c r="D163" s="1">
        <v>20</v>
      </c>
      <c r="E163" s="1" t="str">
        <v>Week 20 saturday (day 6)</v>
      </c>
      <c r="F163" s="1" t="str">
        <v>3.5h planned — Timed mock in a Google Doc, no IDE (90 min) | System design case study write-up (60 min) | Record and review one STAR story (30 min)</v>
      </c>
      <c r="G163" s="1">
        <v>0</v>
      </c>
      <c r="H163" s="1">
        <f>IFERROR(IF(B163="dsa",CHOOSE(G163+1,"Not started","Attempted","Solved with help","Solved unaided"),IF(OR(B163="bq",B163="res",B163="day"),CHOOSE(G163+1,"Not started","Done"),CHOOSE(G163+1,"Not started","In progress","Done"))),"invalid")</f>
      </c>
    </row>
    <row r="164">
      <c r="A164" s="1" t="str">
        <v>day-20-7</v>
      </c>
      <c r="B164" s="1" t="str">
        <v>day</v>
      </c>
      <c r="C164" s="1" t="str">
        <v>Week 20</v>
      </c>
      <c r="D164" s="1">
        <v>20</v>
      </c>
      <c r="E164" s="1" t="str">
        <v>Week 20 sunday (day 7)</v>
      </c>
      <c r="F164" s="1" t="str">
        <v>2.0h planned — Spaced repetition: re-solve 3 things you failed (60 min) | Week review and plan next week (30 min) | Light reading: DDIA or Fluent Python (30 min)</v>
      </c>
      <c r="G164" s="1">
        <v>0</v>
      </c>
      <c r="H164" s="1">
        <f>IFERROR(IF(B164="dsa",CHOOSE(G164+1,"Not started","Attempted","Solved with help","Solved unaided"),IF(OR(B164="bq",B164="res",B164="day"),CHOOSE(G164+1,"Not started","Done"),CHOOSE(G164+1,"Not started","In progress","Done"))),"invalid")</f>
      </c>
    </row>
    <row r="165">
      <c r="A165" s="1" t="str">
        <v>day-21-1</v>
      </c>
      <c r="B165" s="1" t="str">
        <v>day</v>
      </c>
      <c r="C165" s="1" t="str">
        <v>Week 21</v>
      </c>
      <c r="D165" s="1">
        <v>21</v>
      </c>
      <c r="E165" s="1" t="str">
        <v>Week 21 weekday (day 1)</v>
      </c>
      <c r="F165" s="1" t="str">
        <v>3.0h planned — DSA practice (90 min) | System design or LLD (45 min) | Python drills or STAR writing (30 min)</v>
      </c>
      <c r="G165" s="1">
        <v>0</v>
      </c>
      <c r="H165" s="1">
        <f>IFERROR(IF(B165="dsa",CHOOSE(G165+1,"Not started","Attempted","Solved with help","Solved unaided"),IF(OR(B165="bq",B165="res",B165="day"),CHOOSE(G165+1,"Not started","Done"),CHOOSE(G165+1,"Not started","In progress","Done"))),"invalid")</f>
      </c>
    </row>
    <row r="166">
      <c r="A166" s="1" t="str">
        <v>day-21-2</v>
      </c>
      <c r="B166" s="1" t="str">
        <v>day</v>
      </c>
      <c r="C166" s="1" t="str">
        <v>Week 21</v>
      </c>
      <c r="D166" s="1">
        <v>21</v>
      </c>
      <c r="E166" s="1" t="str">
        <v>Week 21 weekday (day 2)</v>
      </c>
      <c r="F166" s="1" t="str">
        <v>3.0h planned — DSA practice (90 min) | System design or LLD (45 min) | Python drills or STAR writing (30 min)</v>
      </c>
      <c r="G166" s="1">
        <v>0</v>
      </c>
      <c r="H166" s="1">
        <f>IFERROR(IF(B166="dsa",CHOOSE(G166+1,"Not started","Attempted","Solved with help","Solved unaided"),IF(OR(B166="bq",B166="res",B166="day"),CHOOSE(G166+1,"Not started","Done"),CHOOSE(G166+1,"Not started","In progress","Done"))),"invalid")</f>
      </c>
    </row>
    <row r="167">
      <c r="A167" s="1" t="str">
        <v>day-21-3</v>
      </c>
      <c r="B167" s="1" t="str">
        <v>day</v>
      </c>
      <c r="C167" s="1" t="str">
        <v>Week 21</v>
      </c>
      <c r="D167" s="1">
        <v>21</v>
      </c>
      <c r="E167" s="1" t="str">
        <v>Week 21 weekday (day 3)</v>
      </c>
      <c r="F167" s="1" t="str">
        <v>3.0h planned — DSA practice (90 min) | System design or LLD (45 min) | Python drills or STAR writing (30 min)</v>
      </c>
      <c r="G167" s="1">
        <v>0</v>
      </c>
      <c r="H167" s="1">
        <f>IFERROR(IF(B167="dsa",CHOOSE(G167+1,"Not started","Attempted","Solved with help","Solved unaided"),IF(OR(B167="bq",B167="res",B167="day"),CHOOSE(G167+1,"Not started","Done"),CHOOSE(G167+1,"Not started","In progress","Done"))),"invalid")</f>
      </c>
    </row>
    <row r="168">
      <c r="A168" s="1" t="str">
        <v>day-21-4</v>
      </c>
      <c r="B168" s="1" t="str">
        <v>day</v>
      </c>
      <c r="C168" s="1" t="str">
        <v>Week 21</v>
      </c>
      <c r="D168" s="1">
        <v>21</v>
      </c>
      <c r="E168" s="1" t="str">
        <v>Week 21 weekday (day 4)</v>
      </c>
      <c r="F168" s="1" t="str">
        <v>3.0h planned — DSA practice (90 min) | System design or LLD (45 min) | Python drills or STAR writing (30 min)</v>
      </c>
      <c r="G168" s="1">
        <v>0</v>
      </c>
      <c r="H168" s="1">
        <f>IFERROR(IF(B168="dsa",CHOOSE(G168+1,"Not started","Attempted","Solved with help","Solved unaided"),IF(OR(B168="bq",B168="res",B168="day"),CHOOSE(G168+1,"Not started","Done"),CHOOSE(G168+1,"Not started","In progress","Done"))),"invalid")</f>
      </c>
    </row>
    <row r="169">
      <c r="A169" s="1" t="str">
        <v>day-21-5</v>
      </c>
      <c r="B169" s="1" t="str">
        <v>day</v>
      </c>
      <c r="C169" s="1" t="str">
        <v>Week 21</v>
      </c>
      <c r="D169" s="1">
        <v>21</v>
      </c>
      <c r="E169" s="1" t="str">
        <v>Week 21 weekday (day 5)</v>
      </c>
      <c r="F169" s="1" t="str">
        <v>3.0h planned — DSA practice (90 min) | System design or LLD (45 min) | Python drills or STAR writing (30 min)</v>
      </c>
      <c r="G169" s="1">
        <v>0</v>
      </c>
      <c r="H169" s="1">
        <f>IFERROR(IF(B169="dsa",CHOOSE(G169+1,"Not started","Attempted","Solved with help","Solved unaided"),IF(OR(B169="bq",B169="res",B169="day"),CHOOSE(G169+1,"Not started","Done"),CHOOSE(G169+1,"Not started","In progress","Done"))),"invalid")</f>
      </c>
    </row>
    <row r="170">
      <c r="A170" s="1" t="str">
        <v>day-21-6</v>
      </c>
      <c r="B170" s="1" t="str">
        <v>day</v>
      </c>
      <c r="C170" s="1" t="str">
        <v>Week 21</v>
      </c>
      <c r="D170" s="1">
        <v>21</v>
      </c>
      <c r="E170" s="1" t="str">
        <v>Week 21 saturday (day 6)</v>
      </c>
      <c r="F170" s="1" t="str">
        <v>3.5h planned — Timed mock in a Google Doc, no IDE (90 min) | System design case study write-up (60 min) | Record and review one STAR story (30 min)</v>
      </c>
      <c r="G170" s="1">
        <v>0</v>
      </c>
      <c r="H170" s="1">
        <f>IFERROR(IF(B170="dsa",CHOOSE(G170+1,"Not started","Attempted","Solved with help","Solved unaided"),IF(OR(B170="bq",B170="res",B170="day"),CHOOSE(G170+1,"Not started","Done"),CHOOSE(G170+1,"Not started","In progress","Done"))),"invalid")</f>
      </c>
    </row>
    <row r="171">
      <c r="A171" s="1" t="str">
        <v>day-21-7</v>
      </c>
      <c r="B171" s="1" t="str">
        <v>day</v>
      </c>
      <c r="C171" s="1" t="str">
        <v>Week 21</v>
      </c>
      <c r="D171" s="1">
        <v>21</v>
      </c>
      <c r="E171" s="1" t="str">
        <v>Week 21 sunday (day 7)</v>
      </c>
      <c r="F171" s="1" t="str">
        <v>2.0h planned — Spaced repetition: re-solve 3 things you failed (60 min) | Week review and plan next week (30 min) | Light reading: DDIA or Fluent Python (30 min)</v>
      </c>
      <c r="G171" s="1">
        <v>0</v>
      </c>
      <c r="H171" s="1">
        <f>IFERROR(IF(B171="dsa",CHOOSE(G171+1,"Not started","Attempted","Solved with help","Solved unaided"),IF(OR(B171="bq",B171="res",B171="day"),CHOOSE(G171+1,"Not started","Done"),CHOOSE(G171+1,"Not started","In progress","Done"))),"invalid")</f>
      </c>
    </row>
    <row r="172">
      <c r="A172" s="1" t="str">
        <v>day-22-1</v>
      </c>
      <c r="B172" s="1" t="str">
        <v>day</v>
      </c>
      <c r="C172" s="1" t="str">
        <v>Week 22</v>
      </c>
      <c r="D172" s="1">
        <v>22</v>
      </c>
      <c r="E172" s="1" t="str">
        <v>Week 22 weekday (day 1)</v>
      </c>
      <c r="F172" s="1" t="str">
        <v>3.0h planned — DSA practice (90 min) | System design or LLD (45 min) | Python drills or STAR writing (30 min)</v>
      </c>
      <c r="G172" s="1">
        <v>0</v>
      </c>
      <c r="H172" s="1">
        <f>IFERROR(IF(B172="dsa",CHOOSE(G172+1,"Not started","Attempted","Solved with help","Solved unaided"),IF(OR(B172="bq",B172="res",B172="day"),CHOOSE(G172+1,"Not started","Done"),CHOOSE(G172+1,"Not started","In progress","Done"))),"invalid")</f>
      </c>
    </row>
    <row r="173">
      <c r="A173" s="1" t="str">
        <v>day-22-2</v>
      </c>
      <c r="B173" s="1" t="str">
        <v>day</v>
      </c>
      <c r="C173" s="1" t="str">
        <v>Week 22</v>
      </c>
      <c r="D173" s="1">
        <v>22</v>
      </c>
      <c r="E173" s="1" t="str">
        <v>Week 22 weekday (day 2)</v>
      </c>
      <c r="F173" s="1" t="str">
        <v>3.0h planned — DSA practice (90 min) | System design or LLD (45 min) | Python drills or STAR writing (30 min)</v>
      </c>
      <c r="G173" s="1">
        <v>0</v>
      </c>
      <c r="H173" s="1">
        <f>IFERROR(IF(B173="dsa",CHOOSE(G173+1,"Not started","Attempted","Solved with help","Solved unaided"),IF(OR(B173="bq",B173="res",B173="day"),CHOOSE(G173+1,"Not started","Done"),CHOOSE(G173+1,"Not started","In progress","Done"))),"invalid")</f>
      </c>
    </row>
    <row r="174">
      <c r="A174" s="1" t="str">
        <v>day-22-3</v>
      </c>
      <c r="B174" s="1" t="str">
        <v>day</v>
      </c>
      <c r="C174" s="1" t="str">
        <v>Week 22</v>
      </c>
      <c r="D174" s="1">
        <v>22</v>
      </c>
      <c r="E174" s="1" t="str">
        <v>Week 22 weekday (day 3)</v>
      </c>
      <c r="F174" s="1" t="str">
        <v>3.0h planned — DSA practice (90 min) | System design or LLD (45 min) | Python drills or STAR writing (30 min)</v>
      </c>
      <c r="G174" s="1">
        <v>0</v>
      </c>
      <c r="H174" s="1">
        <f>IFERROR(IF(B174="dsa",CHOOSE(G174+1,"Not started","Attempted","Solved with help","Solved unaided"),IF(OR(B174="bq",B174="res",B174="day"),CHOOSE(G174+1,"Not started","Done"),CHOOSE(G174+1,"Not started","In progress","Done"))),"invalid")</f>
      </c>
    </row>
    <row r="175">
      <c r="A175" s="1" t="str">
        <v>day-22-4</v>
      </c>
      <c r="B175" s="1" t="str">
        <v>day</v>
      </c>
      <c r="C175" s="1" t="str">
        <v>Week 22</v>
      </c>
      <c r="D175" s="1">
        <v>22</v>
      </c>
      <c r="E175" s="1" t="str">
        <v>Week 22 weekday (day 4)</v>
      </c>
      <c r="F175" s="1" t="str">
        <v>3.0h planned — DSA practice (90 min) | System design or LLD (45 min) | Python drills or STAR writing (30 min)</v>
      </c>
      <c r="G175" s="1">
        <v>0</v>
      </c>
      <c r="H175" s="1">
        <f>IFERROR(IF(B175="dsa",CHOOSE(G175+1,"Not started","Attempted","Solved with help","Solved unaided"),IF(OR(B175="bq",B175="res",B175="day"),CHOOSE(G175+1,"Not started","Done"),CHOOSE(G175+1,"Not started","In progress","Done"))),"invalid")</f>
      </c>
    </row>
    <row r="176">
      <c r="A176" s="1" t="str">
        <v>day-22-5</v>
      </c>
      <c r="B176" s="1" t="str">
        <v>day</v>
      </c>
      <c r="C176" s="1" t="str">
        <v>Week 22</v>
      </c>
      <c r="D176" s="1">
        <v>22</v>
      </c>
      <c r="E176" s="1" t="str">
        <v>Week 22 weekday (day 5)</v>
      </c>
      <c r="F176" s="1" t="str">
        <v>3.0h planned — DSA practice (90 min) | System design or LLD (45 min) | Python drills or STAR writing (30 min)</v>
      </c>
      <c r="G176" s="1">
        <v>0</v>
      </c>
      <c r="H176" s="1">
        <f>IFERROR(IF(B176="dsa",CHOOSE(G176+1,"Not started","Attempted","Solved with help","Solved unaided"),IF(OR(B176="bq",B176="res",B176="day"),CHOOSE(G176+1,"Not started","Done"),CHOOSE(G176+1,"Not started","In progress","Done"))),"invalid")</f>
      </c>
    </row>
    <row r="177">
      <c r="A177" s="1" t="str">
        <v>day-22-6</v>
      </c>
      <c r="B177" s="1" t="str">
        <v>day</v>
      </c>
      <c r="C177" s="1" t="str">
        <v>Week 22</v>
      </c>
      <c r="D177" s="1">
        <v>22</v>
      </c>
      <c r="E177" s="1" t="str">
        <v>Week 22 saturday (day 6)</v>
      </c>
      <c r="F177" s="1" t="str">
        <v>3.5h planned — Timed mock in a Google Doc, no IDE (90 min) | System design case study write-up (60 min) | Record and review one STAR story (30 min)</v>
      </c>
      <c r="G177" s="1">
        <v>0</v>
      </c>
      <c r="H177" s="1">
        <f>IFERROR(IF(B177="dsa",CHOOSE(G177+1,"Not started","Attempted","Solved with help","Solved unaided"),IF(OR(B177="bq",B177="res",B177="day"),CHOOSE(G177+1,"Not started","Done"),CHOOSE(G177+1,"Not started","In progress","Done"))),"invalid")</f>
      </c>
    </row>
    <row r="178">
      <c r="A178" s="1" t="str">
        <v>day-22-7</v>
      </c>
      <c r="B178" s="1" t="str">
        <v>day</v>
      </c>
      <c r="C178" s="1" t="str">
        <v>Week 22</v>
      </c>
      <c r="D178" s="1">
        <v>22</v>
      </c>
      <c r="E178" s="1" t="str">
        <v>Week 22 sunday (day 7)</v>
      </c>
      <c r="F178" s="1" t="str">
        <v>2.0h planned — Spaced repetition: re-solve 3 things you failed (60 min) | Week review and plan next week (30 min) | Light reading: DDIA or Fluent Python (30 min)</v>
      </c>
      <c r="G178" s="1">
        <v>0</v>
      </c>
      <c r="H178" s="1">
        <f>IFERROR(IF(B178="dsa",CHOOSE(G178+1,"Not started","Attempted","Solved with help","Solved unaided"),IF(OR(B178="bq",B178="res",B178="day"),CHOOSE(G178+1,"Not started","Done"),CHOOSE(G178+1,"Not started","In progress","Done"))),"invalid")</f>
      </c>
    </row>
    <row r="179">
      <c r="A179" s="1" t="str">
        <v>day-23-1</v>
      </c>
      <c r="B179" s="1" t="str">
        <v>day</v>
      </c>
      <c r="C179" s="1" t="str">
        <v>Week 23</v>
      </c>
      <c r="D179" s="1">
        <v>23</v>
      </c>
      <c r="E179" s="1" t="str">
        <v>Week 23 weekday (day 1)</v>
      </c>
      <c r="F179" s="1" t="str">
        <v>3.0h planned — DSA practice (90 min) | System design or LLD (45 min) | Python drills or STAR writing (30 min)</v>
      </c>
      <c r="G179" s="1">
        <v>0</v>
      </c>
      <c r="H179" s="1">
        <f>IFERROR(IF(B179="dsa",CHOOSE(G179+1,"Not started","Attempted","Solved with help","Solved unaided"),IF(OR(B179="bq",B179="res",B179="day"),CHOOSE(G179+1,"Not started","Done"),CHOOSE(G179+1,"Not started","In progress","Done"))),"invalid")</f>
      </c>
    </row>
    <row r="180">
      <c r="A180" s="1" t="str">
        <v>day-23-2</v>
      </c>
      <c r="B180" s="1" t="str">
        <v>day</v>
      </c>
      <c r="C180" s="1" t="str">
        <v>Week 23</v>
      </c>
      <c r="D180" s="1">
        <v>23</v>
      </c>
      <c r="E180" s="1" t="str">
        <v>Week 23 weekday (day 2)</v>
      </c>
      <c r="F180" s="1" t="str">
        <v>3.0h planned — DSA practice (90 min) | System design or LLD (45 min) | Python drills or STAR writing (30 min)</v>
      </c>
      <c r="G180" s="1">
        <v>0</v>
      </c>
      <c r="H180" s="1">
        <f>IFERROR(IF(B180="dsa",CHOOSE(G180+1,"Not started","Attempted","Solved with help","Solved unaided"),IF(OR(B180="bq",B180="res",B180="day"),CHOOSE(G180+1,"Not started","Done"),CHOOSE(G180+1,"Not started","In progress","Done"))),"invalid")</f>
      </c>
    </row>
    <row r="181">
      <c r="A181" s="1" t="str">
        <v>day-23-3</v>
      </c>
      <c r="B181" s="1" t="str">
        <v>day</v>
      </c>
      <c r="C181" s="1" t="str">
        <v>Week 23</v>
      </c>
      <c r="D181" s="1">
        <v>23</v>
      </c>
      <c r="E181" s="1" t="str">
        <v>Week 23 weekday (day 3)</v>
      </c>
      <c r="F181" s="1" t="str">
        <v>3.0h planned — DSA practice (90 min) | System design or LLD (45 min) | Python drills or STAR writing (30 min)</v>
      </c>
      <c r="G181" s="1">
        <v>0</v>
      </c>
      <c r="H181" s="1">
        <f>IFERROR(IF(B181="dsa",CHOOSE(G181+1,"Not started","Attempted","Solved with help","Solved unaided"),IF(OR(B181="bq",B181="res",B181="day"),CHOOSE(G181+1,"Not started","Done"),CHOOSE(G181+1,"Not started","In progress","Done"))),"invalid")</f>
      </c>
    </row>
    <row r="182">
      <c r="A182" s="1" t="str">
        <v>day-23-4</v>
      </c>
      <c r="B182" s="1" t="str">
        <v>day</v>
      </c>
      <c r="C182" s="1" t="str">
        <v>Week 23</v>
      </c>
      <c r="D182" s="1">
        <v>23</v>
      </c>
      <c r="E182" s="1" t="str">
        <v>Week 23 weekday (day 4)</v>
      </c>
      <c r="F182" s="1" t="str">
        <v>3.0h planned — DSA practice (90 min) | System design or LLD (45 min) | Python drills or STAR writing (30 min)</v>
      </c>
      <c r="G182" s="1">
        <v>0</v>
      </c>
      <c r="H182" s="1">
        <f>IFERROR(IF(B182="dsa",CHOOSE(G182+1,"Not started","Attempted","Solved with help","Solved unaided"),IF(OR(B182="bq",B182="res",B182="day"),CHOOSE(G182+1,"Not started","Done"),CHOOSE(G182+1,"Not started","In progress","Done"))),"invalid")</f>
      </c>
    </row>
    <row r="183">
      <c r="A183" s="1" t="str">
        <v>day-23-5</v>
      </c>
      <c r="B183" s="1" t="str">
        <v>day</v>
      </c>
      <c r="C183" s="1" t="str">
        <v>Week 23</v>
      </c>
      <c r="D183" s="1">
        <v>23</v>
      </c>
      <c r="E183" s="1" t="str">
        <v>Week 23 weekday (day 5)</v>
      </c>
      <c r="F183" s="1" t="str">
        <v>3.0h planned — DSA practice (90 min) | System design or LLD (45 min) | Python drills or STAR writing (30 min)</v>
      </c>
      <c r="G183" s="1">
        <v>0</v>
      </c>
      <c r="H183" s="1">
        <f>IFERROR(IF(B183="dsa",CHOOSE(G183+1,"Not started","Attempted","Solved with help","Solved unaided"),IF(OR(B183="bq",B183="res",B183="day"),CHOOSE(G183+1,"Not started","Done"),CHOOSE(G183+1,"Not started","In progress","Done"))),"invalid")</f>
      </c>
    </row>
    <row r="184">
      <c r="A184" s="1" t="str">
        <v>day-23-6</v>
      </c>
      <c r="B184" s="1" t="str">
        <v>day</v>
      </c>
      <c r="C184" s="1" t="str">
        <v>Week 23</v>
      </c>
      <c r="D184" s="1">
        <v>23</v>
      </c>
      <c r="E184" s="1" t="str">
        <v>Week 23 saturday (day 6)</v>
      </c>
      <c r="F184" s="1" t="str">
        <v>3.5h planned — Timed mock in a Google Doc, no IDE (90 min) | System design case study write-up (60 min) | Record and review one STAR story (30 min)</v>
      </c>
      <c r="G184" s="1">
        <v>0</v>
      </c>
      <c r="H184" s="1">
        <f>IFERROR(IF(B184="dsa",CHOOSE(G184+1,"Not started","Attempted","Solved with help","Solved unaided"),IF(OR(B184="bq",B184="res",B184="day"),CHOOSE(G184+1,"Not started","Done"),CHOOSE(G184+1,"Not started","In progress","Done"))),"invalid")</f>
      </c>
    </row>
    <row r="185">
      <c r="A185" s="1" t="str">
        <v>day-23-7</v>
      </c>
      <c r="B185" s="1" t="str">
        <v>day</v>
      </c>
      <c r="C185" s="1" t="str">
        <v>Week 23</v>
      </c>
      <c r="D185" s="1">
        <v>23</v>
      </c>
      <c r="E185" s="1" t="str">
        <v>Week 23 sunday (day 7)</v>
      </c>
      <c r="F185" s="1" t="str">
        <v>2.0h planned — Spaced repetition: re-solve 3 things you failed (60 min) | Week review and plan next week (30 min) | Light reading: DDIA or Fluent Python (30 min)</v>
      </c>
      <c r="G185" s="1">
        <v>0</v>
      </c>
      <c r="H185" s="1">
        <f>IFERROR(IF(B185="dsa",CHOOSE(G185+1,"Not started","Attempted","Solved with help","Solved unaided"),IF(OR(B185="bq",B185="res",B185="day"),CHOOSE(G185+1,"Not started","Done"),CHOOSE(G185+1,"Not started","In progress","Done"))),"invalid")</f>
      </c>
    </row>
    <row r="186">
      <c r="A186" s="1" t="str">
        <v>dsa-1929</v>
      </c>
      <c r="B186" s="1" t="str">
        <v>dsa</v>
      </c>
      <c r="C186" s="1" t="str">
        <v>Python reps</v>
      </c>
      <c r="D186" s="1">
        <v>1</v>
      </c>
      <c r="E186" s="1" t="str">
        <v>1929 Concatenation of Array</v>
      </c>
      <c r="F186" s="1" t="str">
        <v>Easy — List building and slicing</v>
      </c>
      <c r="G186" s="1">
        <v>3</v>
      </c>
      <c r="H186" s="1">
        <f>IFERROR(IF(B186="dsa",CHOOSE(G186+1,"Not started","Attempted","Solved with help","Solved unaided"),IF(OR(B186="bq",B186="res",B186="day"),CHOOSE(G186+1,"Not started","Done"),CHOOSE(G186+1,"Not started","In progress","Done"))),"invalid")</f>
      </c>
      <c r="L186" s="1">
        <f>HYPERLINK("https://leetcode.com/problems/concatenation-of-array/","Open source")</f>
      </c>
    </row>
    <row r="187">
      <c r="A187" s="1" t="str">
        <v>dsa-1480</v>
      </c>
      <c r="B187" s="1" t="str">
        <v>dsa</v>
      </c>
      <c r="C187" s="1" t="str">
        <v>Python reps</v>
      </c>
      <c r="D187" s="1">
        <v>1</v>
      </c>
      <c r="E187" s="1" t="str">
        <v>1480 Running Sum of 1d Array</v>
      </c>
      <c r="F187" s="1" t="str">
        <v>Easy — itertools.accumulate versus a loop</v>
      </c>
      <c r="G187" s="1">
        <v>3</v>
      </c>
      <c r="H187" s="1">
        <f>IFERROR(IF(B187="dsa",CHOOSE(G187+1,"Not started","Attempted","Solved with help","Solved unaided"),IF(OR(B187="bq",B187="res",B187="day"),CHOOSE(G187+1,"Not started","Done"),CHOOSE(G187+1,"Not started","In progress","Done"))),"invalid")</f>
      </c>
      <c r="L187" s="1">
        <f>HYPERLINK("https://leetcode.com/problems/running-sum-of-1d-array/","Open source")</f>
      </c>
    </row>
    <row r="188">
      <c r="A188" s="1" t="str">
        <v>dsa-1470</v>
      </c>
      <c r="B188" s="1" t="str">
        <v>dsa</v>
      </c>
      <c r="C188" s="1" t="str">
        <v>Python reps</v>
      </c>
      <c r="D188" s="1">
        <v>1</v>
      </c>
      <c r="E188" s="1" t="str">
        <v>1470 Shuffle the Array</v>
      </c>
      <c r="F188" s="1" t="str">
        <v>Easy — Slicing and zip</v>
      </c>
      <c r="G188" s="1">
        <v>0</v>
      </c>
      <c r="H188" s="1">
        <f>IFERROR(IF(B188="dsa",CHOOSE(G188+1,"Not started","Attempted","Solved with help","Solved unaided"),IF(OR(B188="bq",B188="res",B188="day"),CHOOSE(G188+1,"Not started","Done"),CHOOSE(G188+1,"Not started","In progress","Done"))),"invalid")</f>
      </c>
      <c r="L188" s="1">
        <f>HYPERLINK("https://leetcode.com/problems/shuffle-the-array/","Open source")</f>
      </c>
    </row>
    <row r="189">
      <c r="A189" s="1" t="str">
        <v>dsa-344</v>
      </c>
      <c r="B189" s="1" t="str">
        <v>dsa</v>
      </c>
      <c r="C189" s="1" t="str">
        <v>Python reps</v>
      </c>
      <c r="D189" s="1">
        <v>1</v>
      </c>
      <c r="E189" s="1" t="str">
        <v>344 Reverse String</v>
      </c>
      <c r="F189" s="1" t="str">
        <v>Easy — In-place versus [::-1]</v>
      </c>
      <c r="G189" s="1">
        <v>0</v>
      </c>
      <c r="H189" s="1">
        <f>IFERROR(IF(B189="dsa",CHOOSE(G189+1,"Not started","Attempted","Solved with help","Solved unaided"),IF(OR(B189="bq",B189="res",B189="day"),CHOOSE(G189+1,"Not started","Done"),CHOOSE(G189+1,"Not started","In progress","Done"))),"invalid")</f>
      </c>
      <c r="L189" s="1">
        <f>HYPERLINK("https://leetcode.com/problems/reverse-string/","Open source")</f>
      </c>
    </row>
    <row r="190">
      <c r="A190" s="1" t="str">
        <v>dsa-412</v>
      </c>
      <c r="B190" s="1" t="str">
        <v>dsa</v>
      </c>
      <c r="C190" s="1" t="str">
        <v>Python reps</v>
      </c>
      <c r="D190" s="1">
        <v>1</v>
      </c>
      <c r="E190" s="1" t="str">
        <v>412 Fizz Buzz</v>
      </c>
      <c r="F190" s="1" t="str">
        <v>Easy — f-strings, no StringBuilder</v>
      </c>
      <c r="G190" s="1">
        <v>0</v>
      </c>
      <c r="H190" s="1">
        <f>IFERROR(IF(B190="dsa",CHOOSE(G190+1,"Not started","Attempted","Solved with help","Solved unaided"),IF(OR(B190="bq",B190="res",B190="day"),CHOOSE(G190+1,"Not started","Done"),CHOOSE(G190+1,"Not started","In progress","Done"))),"invalid")</f>
      </c>
      <c r="L190" s="1">
        <f>HYPERLINK("https://leetcode.com/problems/fizz-buzz/","Open source")</f>
      </c>
    </row>
    <row r="191">
      <c r="A191" s="1" t="str">
        <v>dsa-709</v>
      </c>
      <c r="B191" s="1" t="str">
        <v>dsa</v>
      </c>
      <c r="C191" s="1" t="str">
        <v>Python reps</v>
      </c>
      <c r="D191" s="1">
        <v>1</v>
      </c>
      <c r="E191" s="1" t="str">
        <v>709 To Lower Case</v>
      </c>
      <c r="F191" s="1" t="str">
        <v>Easy — str methods; know what is already built in</v>
      </c>
      <c r="G191" s="1">
        <v>0</v>
      </c>
      <c r="H191" s="1">
        <f>IFERROR(IF(B191="dsa",CHOOSE(G191+1,"Not started","Attempted","Solved with help","Solved unaided"),IF(OR(B191="bq",B191="res",B191="day"),CHOOSE(G191+1,"Not started","Done"),CHOOSE(G191+1,"Not started","In progress","Done"))),"invalid")</f>
      </c>
      <c r="L191" s="1">
        <f>HYPERLINK("https://leetcode.com/problems/to-lower-case/","Open source")</f>
      </c>
    </row>
    <row r="192">
      <c r="A192" s="1" t="str">
        <v>dsa-1512</v>
      </c>
      <c r="B192" s="1" t="str">
        <v>dsa</v>
      </c>
      <c r="C192" s="1" t="str">
        <v>Python reps</v>
      </c>
      <c r="D192" s="1">
        <v>1</v>
      </c>
      <c r="E192" s="1" t="str">
        <v>1512 Number of Good Pairs</v>
      </c>
      <c r="F192" s="1" t="str">
        <v>Easy — Counter and combinations</v>
      </c>
      <c r="G192" s="1">
        <v>0</v>
      </c>
      <c r="H192" s="1">
        <f>IFERROR(IF(B192="dsa",CHOOSE(G192+1,"Not started","Attempted","Solved with help","Solved unaided"),IF(OR(B192="bq",B192="res",B192="day"),CHOOSE(G192+1,"Not started","Done"),CHOOSE(G192+1,"Not started","In progress","Done"))),"invalid")</f>
      </c>
      <c r="L192" s="1">
        <f>HYPERLINK("https://leetcode.com/problems/number-of-good-pairs/","Open source")</f>
      </c>
    </row>
    <row r="193">
      <c r="A193" s="1" t="str">
        <v>dsa-771</v>
      </c>
      <c r="B193" s="1" t="str">
        <v>dsa</v>
      </c>
      <c r="C193" s="1" t="str">
        <v>Python reps</v>
      </c>
      <c r="D193" s="1">
        <v>1</v>
      </c>
      <c r="E193" s="1" t="str">
        <v>771 Jewels and Stones</v>
      </c>
      <c r="F193" s="1" t="str">
        <v>Easy — set membership, not nested loops</v>
      </c>
      <c r="G193" s="1">
        <v>0</v>
      </c>
      <c r="H193" s="1">
        <f>IFERROR(IF(B193="dsa",CHOOSE(G193+1,"Not started","Attempted","Solved with help","Solved unaided"),IF(OR(B193="bq",B193="res",B193="day"),CHOOSE(G193+1,"Not started","Done"),CHOOSE(G193+1,"Not started","In progress","Done"))),"invalid")</f>
      </c>
      <c r="L193" s="1">
        <f>HYPERLINK("https://leetcode.com/problems/jewels-and-stones/","Open source")</f>
      </c>
    </row>
    <row r="194">
      <c r="A194" s="1" t="str">
        <v>dsa-383</v>
      </c>
      <c r="B194" s="1" t="str">
        <v>dsa</v>
      </c>
      <c r="C194" s="1" t="str">
        <v>Python reps</v>
      </c>
      <c r="D194" s="1">
        <v>1</v>
      </c>
      <c r="E194" s="1" t="str">
        <v>383 Ransom Note</v>
      </c>
      <c r="F194" s="1" t="str">
        <v>Easy — Counter subtraction</v>
      </c>
      <c r="G194" s="1">
        <v>0</v>
      </c>
      <c r="H194" s="1">
        <f>IFERROR(IF(B194="dsa",CHOOSE(G194+1,"Not started","Attempted","Solved with help","Solved unaided"),IF(OR(B194="bq",B194="res",B194="day"),CHOOSE(G194+1,"Not started","Done"),CHOOSE(G194+1,"Not started","In progress","Done"))),"invalid")</f>
      </c>
      <c r="L194" s="1">
        <f>HYPERLINK("https://leetcode.com/problems/ransom-note/","Open source")</f>
      </c>
    </row>
    <row r="195">
      <c r="A195" s="1" t="str">
        <v>dsa-26</v>
      </c>
      <c r="B195" s="1" t="str">
        <v>dsa</v>
      </c>
      <c r="C195" s="1" t="str">
        <v>Python reps</v>
      </c>
      <c r="D195" s="1">
        <v>2</v>
      </c>
      <c r="E195" s="1" t="str">
        <v>26 Remove Duplicates from Sorted Array</v>
      </c>
      <c r="F195" s="1" t="str">
        <v>Easy — Two pointers, in place</v>
      </c>
      <c r="G195" s="1">
        <v>0</v>
      </c>
      <c r="H195" s="1">
        <f>IFERROR(IF(B195="dsa",CHOOSE(G195+1,"Not started","Attempted","Solved with help","Solved unaided"),IF(OR(B195="bq",B195="res",B195="day"),CHOOSE(G195+1,"Not started","Done"),CHOOSE(G195+1,"Not started","In progress","Done"))),"invalid")</f>
      </c>
      <c r="L195" s="1">
        <f>HYPERLINK("https://leetcode.com/problems/remove-duplicates-from-sorted-array/","Open source")</f>
      </c>
    </row>
    <row r="196">
      <c r="A196" s="1" t="str">
        <v>dsa-27</v>
      </c>
      <c r="B196" s="1" t="str">
        <v>dsa</v>
      </c>
      <c r="C196" s="1" t="str">
        <v>Python reps</v>
      </c>
      <c r="D196" s="1">
        <v>2</v>
      </c>
      <c r="E196" s="1" t="str">
        <v>27 Remove Element</v>
      </c>
      <c r="F196" s="1" t="str">
        <v>Easy — In-place write index</v>
      </c>
      <c r="G196" s="1">
        <v>0</v>
      </c>
      <c r="H196" s="1">
        <f>IFERROR(IF(B196="dsa",CHOOSE(G196+1,"Not started","Attempted","Solved with help","Solved unaided"),IF(OR(B196="bq",B196="res",B196="day"),CHOOSE(G196+1,"Not started","Done"),CHOOSE(G196+1,"Not started","In progress","Done"))),"invalid")</f>
      </c>
      <c r="L196" s="1">
        <f>HYPERLINK("https://leetcode.com/problems/remove-element/","Open source")</f>
      </c>
    </row>
    <row r="197">
      <c r="A197" s="1" t="str">
        <v>dsa-88</v>
      </c>
      <c r="B197" s="1" t="str">
        <v>dsa</v>
      </c>
      <c r="C197" s="1" t="str">
        <v>Python reps</v>
      </c>
      <c r="D197" s="1">
        <v>2</v>
      </c>
      <c r="E197" s="1" t="str">
        <v>88 Merge Sorted Array</v>
      </c>
      <c r="F197" s="1" t="str">
        <v>Easy — Backward fill, no extra list</v>
      </c>
      <c r="G197" s="1">
        <v>0</v>
      </c>
      <c r="H197" s="1">
        <f>IFERROR(IF(B197="dsa",CHOOSE(G197+1,"Not started","Attempted","Solved with help","Solved unaided"),IF(OR(B197="bq",B197="res",B197="day"),CHOOSE(G197+1,"Not started","Done"),CHOOSE(G197+1,"Not started","In progress","Done"))),"invalid")</f>
      </c>
      <c r="L197" s="1">
        <f>HYPERLINK("https://leetcode.com/problems/merge-sorted-array/","Open source")</f>
      </c>
    </row>
    <row r="198">
      <c r="A198" s="1" t="str">
        <v>dsa-283</v>
      </c>
      <c r="B198" s="1" t="str">
        <v>dsa</v>
      </c>
      <c r="C198" s="1" t="str">
        <v>Python reps</v>
      </c>
      <c r="D198" s="1">
        <v>2</v>
      </c>
      <c r="E198" s="1" t="str">
        <v>283 Move Zeroes</v>
      </c>
      <c r="F198" s="1" t="str">
        <v>Easy — In-place, one pass</v>
      </c>
      <c r="G198" s="1">
        <v>0</v>
      </c>
      <c r="H198" s="1">
        <f>IFERROR(IF(B198="dsa",CHOOSE(G198+1,"Not started","Attempted","Solved with help","Solved unaided"),IF(OR(B198="bq",B198="res",B198="day"),CHOOSE(G198+1,"Not started","Done"),CHOOSE(G198+1,"Not started","In progress","Done"))),"invalid")</f>
      </c>
      <c r="L198" s="1">
        <f>HYPERLINK("https://leetcode.com/problems/move-zeroes/","Open source")</f>
      </c>
    </row>
    <row r="199">
      <c r="A199" s="1" t="str">
        <v>dsa-169</v>
      </c>
      <c r="B199" s="1" t="str">
        <v>dsa</v>
      </c>
      <c r="C199" s="1" t="str">
        <v>Python reps</v>
      </c>
      <c r="D199" s="1">
        <v>2</v>
      </c>
      <c r="E199" s="1" t="str">
        <v>169 Majority Element</v>
      </c>
      <c r="F199" s="1" t="str">
        <v>Easy — Counter.most_common, then Boyer-Moore</v>
      </c>
      <c r="G199" s="1">
        <v>0</v>
      </c>
      <c r="H199" s="1">
        <f>IFERROR(IF(B199="dsa",CHOOSE(G199+1,"Not started","Attempted","Solved with help","Solved unaided"),IF(OR(B199="bq",B199="res",B199="day"),CHOOSE(G199+1,"Not started","Done"),CHOOSE(G199+1,"Not started","In progress","Done"))),"invalid")</f>
      </c>
      <c r="L199" s="1">
        <f>HYPERLINK("https://leetcode.com/problems/majority-element/","Open source")</f>
      </c>
    </row>
    <row r="200">
      <c r="A200" s="1" t="str">
        <v>dsa-349</v>
      </c>
      <c r="B200" s="1" t="str">
        <v>dsa</v>
      </c>
      <c r="C200" s="1" t="str">
        <v>Python reps</v>
      </c>
      <c r="D200" s="1">
        <v>2</v>
      </c>
      <c r="E200" s="1" t="str">
        <v>349 Intersection of Two Arrays</v>
      </c>
      <c r="F200" s="1" t="str">
        <v>Easy — Set operators, not loops</v>
      </c>
      <c r="G200" s="1">
        <v>0</v>
      </c>
      <c r="H200" s="1">
        <f>IFERROR(IF(B200="dsa",CHOOSE(G200+1,"Not started","Attempted","Solved with help","Solved unaided"),IF(OR(B200="bq",B200="res",B200="day"),CHOOSE(G200+1,"Not started","Done"),CHOOSE(G200+1,"Not started","In progress","Done"))),"invalid")</f>
      </c>
      <c r="L200" s="1">
        <f>HYPERLINK("https://leetcode.com/problems/intersection-of-two-arrays/","Open source")</f>
      </c>
    </row>
    <row r="201">
      <c r="A201" s="1" t="str">
        <v>dsa-13</v>
      </c>
      <c r="B201" s="1" t="str">
        <v>dsa</v>
      </c>
      <c r="C201" s="1" t="str">
        <v>Python reps</v>
      </c>
      <c r="D201" s="1">
        <v>2</v>
      </c>
      <c r="E201" s="1" t="str">
        <v>13 Roman to Integer</v>
      </c>
      <c r="F201" s="1" t="str">
        <v>Easy — dict lookup and zip pairs</v>
      </c>
      <c r="G201" s="1">
        <v>0</v>
      </c>
      <c r="H201" s="1">
        <f>IFERROR(IF(B201="dsa",CHOOSE(G201+1,"Not started","Attempted","Solved with help","Solved unaided"),IF(OR(B201="bq",B201="res",B201="day"),CHOOSE(G201+1,"Not started","Done"),CHOOSE(G201+1,"Not started","In progress","Done"))),"invalid")</f>
      </c>
      <c r="L201" s="1">
        <f>HYPERLINK("https://leetcode.com/problems/roman-to-integer/","Open source")</f>
      </c>
    </row>
    <row r="202">
      <c r="A202" s="1" t="str">
        <v>dsa-14</v>
      </c>
      <c r="B202" s="1" t="str">
        <v>dsa</v>
      </c>
      <c r="C202" s="1" t="str">
        <v>Python reps</v>
      </c>
      <c r="D202" s="1">
        <v>2</v>
      </c>
      <c r="E202" s="1" t="str">
        <v>14 Longest Common Prefix</v>
      </c>
      <c r="F202" s="1" t="str">
        <v>Easy — zip(*strs)</v>
      </c>
      <c r="G202" s="1">
        <v>0</v>
      </c>
      <c r="H202" s="1">
        <f>IFERROR(IF(B202="dsa",CHOOSE(G202+1,"Not started","Attempted","Solved with help","Solved unaided"),IF(OR(B202="bq",B202="res",B202="day"),CHOOSE(G202+1,"Not started","Done"),CHOOSE(G202+1,"Not started","In progress","Done"))),"invalid")</f>
      </c>
      <c r="L202" s="1">
        <f>HYPERLINK("https://leetcode.com/problems/longest-common-prefix/","Open source")</f>
      </c>
    </row>
    <row r="203">
      <c r="A203" s="1" t="str">
        <v>dsa-977</v>
      </c>
      <c r="B203" s="1" t="str">
        <v>dsa</v>
      </c>
      <c r="C203" s="1" t="str">
        <v>Python reps</v>
      </c>
      <c r="D203" s="1">
        <v>2</v>
      </c>
      <c r="E203" s="1" t="str">
        <v>977 Squares of a Sorted Array</v>
      </c>
      <c r="F203" s="1" t="str">
        <v>Easy — Two pointers, preallocated list</v>
      </c>
      <c r="G203" s="1">
        <v>0</v>
      </c>
      <c r="H203" s="1">
        <f>IFERROR(IF(B203="dsa",CHOOSE(G203+1,"Not started","Attempted","Solved with help","Solved unaided"),IF(OR(B203="bq",B203="res",B203="day"),CHOOSE(G203+1,"Not started","Done"),CHOOSE(G203+1,"Not started","In progress","Done"))),"invalid")</f>
      </c>
      <c r="L203" s="1">
        <f>HYPERLINK("https://leetcode.com/problems/squares-of-a-sorted-array/","Open source")</f>
      </c>
    </row>
    <row r="204">
      <c r="A204" s="1" t="str">
        <v>dsa-217</v>
      </c>
      <c r="B204" s="1" t="str">
        <v>dsa</v>
      </c>
      <c r="C204" s="1" t="str">
        <v>Arrays &amp; Hashing</v>
      </c>
      <c r="D204" s="1">
        <v>4</v>
      </c>
      <c r="E204" s="1" t="str">
        <v>217 Contains Duplicate</v>
      </c>
      <c r="F204" s="1" t="str">
        <v>Easy</v>
      </c>
      <c r="G204" s="1">
        <v>0</v>
      </c>
      <c r="H204" s="1">
        <f>IFERROR(IF(B204="dsa",CHOOSE(G204+1,"Not started","Attempted","Solved with help","Solved unaided"),IF(OR(B204="bq",B204="res",B204="day"),CHOOSE(G204+1,"Not started","Done"),CHOOSE(G204+1,"Not started","In progress","Done"))),"invalid")</f>
      </c>
      <c r="L204" s="1">
        <f>HYPERLINK("https://leetcode.com/problems/contains-duplicate/","Open source")</f>
      </c>
    </row>
    <row r="205">
      <c r="A205" s="1" t="str">
        <v>dsa-242</v>
      </c>
      <c r="B205" s="1" t="str">
        <v>dsa</v>
      </c>
      <c r="C205" s="1" t="str">
        <v>Arrays &amp; Hashing</v>
      </c>
      <c r="D205" s="1">
        <v>4</v>
      </c>
      <c r="E205" s="1" t="str">
        <v>242 Valid Anagram</v>
      </c>
      <c r="F205" s="1" t="str">
        <v>Easy</v>
      </c>
      <c r="G205" s="1">
        <v>0</v>
      </c>
      <c r="H205" s="1">
        <f>IFERROR(IF(B205="dsa",CHOOSE(G205+1,"Not started","Attempted","Solved with help","Solved unaided"),IF(OR(B205="bq",B205="res",B205="day"),CHOOSE(G205+1,"Not started","Done"),CHOOSE(G205+1,"Not started","In progress","Done"))),"invalid")</f>
      </c>
      <c r="L205" s="1">
        <f>HYPERLINK("https://leetcode.com/problems/valid-anagram/","Open source")</f>
      </c>
    </row>
    <row r="206">
      <c r="A206" s="1" t="str">
        <v>dsa-1</v>
      </c>
      <c r="B206" s="1" t="str">
        <v>dsa</v>
      </c>
      <c r="C206" s="1" t="str">
        <v>Arrays &amp; Hashing</v>
      </c>
      <c r="D206" s="1">
        <v>4</v>
      </c>
      <c r="E206" s="1" t="str">
        <v>1 Two Sum</v>
      </c>
      <c r="F206" s="1" t="str">
        <v>Easy</v>
      </c>
      <c r="G206" s="1">
        <v>0</v>
      </c>
      <c r="H206" s="1">
        <f>IFERROR(IF(B206="dsa",CHOOSE(G206+1,"Not started","Attempted","Solved with help","Solved unaided"),IF(OR(B206="bq",B206="res",B206="day"),CHOOSE(G206+1,"Not started","Done"),CHOOSE(G206+1,"Not started","In progress","Done"))),"invalid")</f>
      </c>
      <c r="L206" s="1">
        <f>HYPERLINK("https://leetcode.com/problems/two-sum/","Open source")</f>
      </c>
    </row>
    <row r="207">
      <c r="A207" s="1" t="str">
        <v>dsa-49</v>
      </c>
      <c r="B207" s="1" t="str">
        <v>dsa</v>
      </c>
      <c r="C207" s="1" t="str">
        <v>Arrays &amp; Hashing</v>
      </c>
      <c r="D207" s="1">
        <v>4</v>
      </c>
      <c r="E207" s="1" t="str">
        <v>49 Group Anagrams</v>
      </c>
      <c r="F207" s="1" t="str">
        <v>Medium</v>
      </c>
      <c r="G207" s="1">
        <v>0</v>
      </c>
      <c r="H207" s="1">
        <f>IFERROR(IF(B207="dsa",CHOOSE(G207+1,"Not started","Attempted","Solved with help","Solved unaided"),IF(OR(B207="bq",B207="res",B207="day"),CHOOSE(G207+1,"Not started","Done"),CHOOSE(G207+1,"Not started","In progress","Done"))),"invalid")</f>
      </c>
      <c r="L207" s="1">
        <f>HYPERLINK("https://leetcode.com/problems/group-anagrams/","Open source")</f>
      </c>
    </row>
    <row r="208">
      <c r="A208" s="1" t="str">
        <v>dsa-347</v>
      </c>
      <c r="B208" s="1" t="str">
        <v>dsa</v>
      </c>
      <c r="C208" s="1" t="str">
        <v>Arrays &amp; Hashing</v>
      </c>
      <c r="D208" s="1">
        <v>4</v>
      </c>
      <c r="E208" s="1" t="str">
        <v>347 Top K Frequent Elements</v>
      </c>
      <c r="F208" s="1" t="str">
        <v>Medium</v>
      </c>
      <c r="G208" s="1">
        <v>0</v>
      </c>
      <c r="H208" s="1">
        <f>IFERROR(IF(B208="dsa",CHOOSE(G208+1,"Not started","Attempted","Solved with help","Solved unaided"),IF(OR(B208="bq",B208="res",B208="day"),CHOOSE(G208+1,"Not started","Done"),CHOOSE(G208+1,"Not started","In progress","Done"))),"invalid")</f>
      </c>
      <c r="L208" s="1">
        <f>HYPERLINK("https://leetcode.com/problems/top-k-frequent-elements/","Open source")</f>
      </c>
    </row>
    <row r="209">
      <c r="A209" s="1" t="str">
        <v>dsa-271</v>
      </c>
      <c r="B209" s="1" t="str">
        <v>dsa</v>
      </c>
      <c r="C209" s="1" t="str">
        <v>Arrays &amp; Hashing</v>
      </c>
      <c r="D209" s="1">
        <v>4</v>
      </c>
      <c r="E209" s="1" t="str">
        <v>271 Encode and Decode Strings</v>
      </c>
      <c r="F209" s="1" t="str">
        <v>Medium — LC Premium; free on NeetCode</v>
      </c>
      <c r="G209" s="1">
        <v>0</v>
      </c>
      <c r="H209" s="1">
        <f>IFERROR(IF(B209="dsa",CHOOSE(G209+1,"Not started","Attempted","Solved with help","Solved unaided"),IF(OR(B209="bq",B209="res",B209="day"),CHOOSE(G209+1,"Not started","Done"),CHOOSE(G209+1,"Not started","In progress","Done"))),"invalid")</f>
      </c>
      <c r="L209" s="1">
        <f>HYPERLINK("https://leetcode.com/problems/encode-and-decode-strings/","Open source")</f>
      </c>
    </row>
    <row r="210">
      <c r="A210" s="1" t="str">
        <v>dsa-238</v>
      </c>
      <c r="B210" s="1" t="str">
        <v>dsa</v>
      </c>
      <c r="C210" s="1" t="str">
        <v>Arrays &amp; Hashing</v>
      </c>
      <c r="D210" s="1">
        <v>4</v>
      </c>
      <c r="E210" s="1" t="str">
        <v>238 Product of Array Except Self</v>
      </c>
      <c r="F210" s="1" t="str">
        <v>Medium</v>
      </c>
      <c r="G210" s="1">
        <v>0</v>
      </c>
      <c r="H210" s="1">
        <f>IFERROR(IF(B210="dsa",CHOOSE(G210+1,"Not started","Attempted","Solved with help","Solved unaided"),IF(OR(B210="bq",B210="res",B210="day"),CHOOSE(G210+1,"Not started","Done"),CHOOSE(G210+1,"Not started","In progress","Done"))),"invalid")</f>
      </c>
      <c r="L210" s="1">
        <f>HYPERLINK("https://leetcode.com/problems/product-of-array-except-self/","Open source")</f>
      </c>
    </row>
    <row r="211">
      <c r="A211" s="1" t="str">
        <v>dsa-36</v>
      </c>
      <c r="B211" s="1" t="str">
        <v>dsa</v>
      </c>
      <c r="C211" s="1" t="str">
        <v>Arrays &amp; Hashing</v>
      </c>
      <c r="D211" s="1">
        <v>4</v>
      </c>
      <c r="E211" s="1" t="str">
        <v>36 Valid Sudoku</v>
      </c>
      <c r="F211" s="1" t="str">
        <v>Medium</v>
      </c>
      <c r="G211" s="1">
        <v>0</v>
      </c>
      <c r="H211" s="1">
        <f>IFERROR(IF(B211="dsa",CHOOSE(G211+1,"Not started","Attempted","Solved with help","Solved unaided"),IF(OR(B211="bq",B211="res",B211="day"),CHOOSE(G211+1,"Not started","Done"),CHOOSE(G211+1,"Not started","In progress","Done"))),"invalid")</f>
      </c>
      <c r="L211" s="1">
        <f>HYPERLINK("https://leetcode.com/problems/valid-sudoku/","Open source")</f>
      </c>
    </row>
    <row r="212">
      <c r="A212" s="1" t="str">
        <v>dsa-128</v>
      </c>
      <c r="B212" s="1" t="str">
        <v>dsa</v>
      </c>
      <c r="C212" s="1" t="str">
        <v>Arrays &amp; Hashing</v>
      </c>
      <c r="D212" s="1">
        <v>4</v>
      </c>
      <c r="E212" s="1" t="str">
        <v>128 Longest Consecutive Sequence</v>
      </c>
      <c r="F212" s="1" t="str">
        <v>Medium</v>
      </c>
      <c r="G212" s="1">
        <v>0</v>
      </c>
      <c r="H212" s="1">
        <f>IFERROR(IF(B212="dsa",CHOOSE(G212+1,"Not started","Attempted","Solved with help","Solved unaided"),IF(OR(B212="bq",B212="res",B212="day"),CHOOSE(G212+1,"Not started","Done"),CHOOSE(G212+1,"Not started","In progress","Done"))),"invalid")</f>
      </c>
      <c r="L212" s="1">
        <f>HYPERLINK("https://leetcode.com/problems/longest-consecutive-sequence/","Open source")</f>
      </c>
    </row>
    <row r="213">
      <c r="A213" s="1" t="str">
        <v>dsa-125</v>
      </c>
      <c r="B213" s="1" t="str">
        <v>dsa</v>
      </c>
      <c r="C213" s="1" t="str">
        <v>Two Pointers</v>
      </c>
      <c r="D213" s="1">
        <v>5</v>
      </c>
      <c r="E213" s="1" t="str">
        <v>125 Valid Palindrome</v>
      </c>
      <c r="F213" s="1" t="str">
        <v>Easy</v>
      </c>
      <c r="G213" s="1">
        <v>0</v>
      </c>
      <c r="H213" s="1">
        <f>IFERROR(IF(B213="dsa",CHOOSE(G213+1,"Not started","Attempted","Solved with help","Solved unaided"),IF(OR(B213="bq",B213="res",B213="day"),CHOOSE(G213+1,"Not started","Done"),CHOOSE(G213+1,"Not started","In progress","Done"))),"invalid")</f>
      </c>
      <c r="L213" s="1">
        <f>HYPERLINK("https://leetcode.com/problems/valid-palindrome/","Open source")</f>
      </c>
    </row>
    <row r="214">
      <c r="A214" s="1" t="str">
        <v>dsa-167</v>
      </c>
      <c r="B214" s="1" t="str">
        <v>dsa</v>
      </c>
      <c r="C214" s="1" t="str">
        <v>Two Pointers</v>
      </c>
      <c r="D214" s="1">
        <v>5</v>
      </c>
      <c r="E214" s="1" t="str">
        <v>167 Two Sum II - Input Array Is Sorted</v>
      </c>
      <c r="F214" s="1" t="str">
        <v>Medium</v>
      </c>
      <c r="G214" s="1">
        <v>0</v>
      </c>
      <c r="H214" s="1">
        <f>IFERROR(IF(B214="dsa",CHOOSE(G214+1,"Not started","Attempted","Solved with help","Solved unaided"),IF(OR(B214="bq",B214="res",B214="day"),CHOOSE(G214+1,"Not started","Done"),CHOOSE(G214+1,"Not started","In progress","Done"))),"invalid")</f>
      </c>
      <c r="L214" s="1">
        <f>HYPERLINK("https://leetcode.com/problems/two-sum-ii-input-array-is-sorted/","Open source")</f>
      </c>
    </row>
    <row r="215">
      <c r="A215" s="1" t="str">
        <v>dsa-15</v>
      </c>
      <c r="B215" s="1" t="str">
        <v>dsa</v>
      </c>
      <c r="C215" s="1" t="str">
        <v>Two Pointers</v>
      </c>
      <c r="D215" s="1">
        <v>5</v>
      </c>
      <c r="E215" s="1" t="str">
        <v>15 3Sum</v>
      </c>
      <c r="F215" s="1" t="str">
        <v>Medium</v>
      </c>
      <c r="G215" s="1">
        <v>0</v>
      </c>
      <c r="H215" s="1">
        <f>IFERROR(IF(B215="dsa",CHOOSE(G215+1,"Not started","Attempted","Solved with help","Solved unaided"),IF(OR(B215="bq",B215="res",B215="day"),CHOOSE(G215+1,"Not started","Done"),CHOOSE(G215+1,"Not started","In progress","Done"))),"invalid")</f>
      </c>
      <c r="L215" s="1">
        <f>HYPERLINK("https://leetcode.com/problems/3sum/","Open source")</f>
      </c>
    </row>
    <row r="216">
      <c r="A216" s="1" t="str">
        <v>dsa-11</v>
      </c>
      <c r="B216" s="1" t="str">
        <v>dsa</v>
      </c>
      <c r="C216" s="1" t="str">
        <v>Two Pointers</v>
      </c>
      <c r="D216" s="1">
        <v>5</v>
      </c>
      <c r="E216" s="1" t="str">
        <v>11 Container With Most Water</v>
      </c>
      <c r="F216" s="1" t="str">
        <v>Medium</v>
      </c>
      <c r="G216" s="1">
        <v>0</v>
      </c>
      <c r="H216" s="1">
        <f>IFERROR(IF(B216="dsa",CHOOSE(G216+1,"Not started","Attempted","Solved with help","Solved unaided"),IF(OR(B216="bq",B216="res",B216="day"),CHOOSE(G216+1,"Not started","Done"),CHOOSE(G216+1,"Not started","In progress","Done"))),"invalid")</f>
      </c>
      <c r="L216" s="1">
        <f>HYPERLINK("https://leetcode.com/problems/container-with-most-water/","Open source")</f>
      </c>
    </row>
    <row r="217">
      <c r="A217" s="1" t="str">
        <v>dsa-42</v>
      </c>
      <c r="B217" s="1" t="str">
        <v>dsa</v>
      </c>
      <c r="C217" s="1" t="str">
        <v>Two Pointers</v>
      </c>
      <c r="D217" s="1">
        <v>5</v>
      </c>
      <c r="E217" s="1" t="str">
        <v>42 Trapping Rain Water</v>
      </c>
      <c r="F217" s="1" t="str">
        <v>Hard — Classic Google onsite</v>
      </c>
      <c r="G217" s="1">
        <v>0</v>
      </c>
      <c r="H217" s="1">
        <f>IFERROR(IF(B217="dsa",CHOOSE(G217+1,"Not started","Attempted","Solved with help","Solved unaided"),IF(OR(B217="bq",B217="res",B217="day"),CHOOSE(G217+1,"Not started","Done"),CHOOSE(G217+1,"Not started","In progress","Done"))),"invalid")</f>
      </c>
      <c r="L217" s="1">
        <f>HYPERLINK("https://leetcode.com/problems/trapping-rain-water/","Open source")</f>
      </c>
    </row>
    <row r="218">
      <c r="A218" s="1" t="str">
        <v>dsa-121</v>
      </c>
      <c r="B218" s="1" t="str">
        <v>dsa</v>
      </c>
      <c r="C218" s="1" t="str">
        <v>Sliding Window</v>
      </c>
      <c r="D218" s="1">
        <v>5</v>
      </c>
      <c r="E218" s="1" t="str">
        <v>121 Best Time to Buy and Sell Stock</v>
      </c>
      <c r="F218" s="1" t="str">
        <v>Easy</v>
      </c>
      <c r="G218" s="1">
        <v>0</v>
      </c>
      <c r="H218" s="1">
        <f>IFERROR(IF(B218="dsa",CHOOSE(G218+1,"Not started","Attempted","Solved with help","Solved unaided"),IF(OR(B218="bq",B218="res",B218="day"),CHOOSE(G218+1,"Not started","Done"),CHOOSE(G218+1,"Not started","In progress","Done"))),"invalid")</f>
      </c>
      <c r="L218" s="1">
        <f>HYPERLINK("https://leetcode.com/problems/best-time-to-buy-and-sell-stock/","Open source")</f>
      </c>
    </row>
    <row r="219">
      <c r="A219" s="1" t="str">
        <v>dsa-3</v>
      </c>
      <c r="B219" s="1" t="str">
        <v>dsa</v>
      </c>
      <c r="C219" s="1" t="str">
        <v>Sliding Window</v>
      </c>
      <c r="D219" s="1">
        <v>5</v>
      </c>
      <c r="E219" s="1" t="str">
        <v>3 Longest Substring Without Repeating Characters</v>
      </c>
      <c r="F219" s="1" t="str">
        <v>Medium</v>
      </c>
      <c r="G219" s="1">
        <v>0</v>
      </c>
      <c r="H219" s="1">
        <f>IFERROR(IF(B219="dsa",CHOOSE(G219+1,"Not started","Attempted","Solved with help","Solved unaided"),IF(OR(B219="bq",B219="res",B219="day"),CHOOSE(G219+1,"Not started","Done"),CHOOSE(G219+1,"Not started","In progress","Done"))),"invalid")</f>
      </c>
      <c r="L219" s="1">
        <f>HYPERLINK("https://leetcode.com/problems/longest-substring-without-repeating-characters/","Open source")</f>
      </c>
    </row>
    <row r="220">
      <c r="A220" s="1" t="str">
        <v>dsa-424</v>
      </c>
      <c r="B220" s="1" t="str">
        <v>dsa</v>
      </c>
      <c r="C220" s="1" t="str">
        <v>Sliding Window</v>
      </c>
      <c r="D220" s="1">
        <v>5</v>
      </c>
      <c r="E220" s="1" t="str">
        <v>424 Longest Repeating Character Replacement</v>
      </c>
      <c r="F220" s="1" t="str">
        <v>Medium</v>
      </c>
      <c r="G220" s="1">
        <v>0</v>
      </c>
      <c r="H220" s="1">
        <f>IFERROR(IF(B220="dsa",CHOOSE(G220+1,"Not started","Attempted","Solved with help","Solved unaided"),IF(OR(B220="bq",B220="res",B220="day"),CHOOSE(G220+1,"Not started","Done"),CHOOSE(G220+1,"Not started","In progress","Done"))),"invalid")</f>
      </c>
      <c r="L220" s="1">
        <f>HYPERLINK("https://leetcode.com/problems/longest-repeating-character-replacement/","Open source")</f>
      </c>
    </row>
    <row r="221">
      <c r="A221" s="1" t="str">
        <v>dsa-567</v>
      </c>
      <c r="B221" s="1" t="str">
        <v>dsa</v>
      </c>
      <c r="C221" s="1" t="str">
        <v>Sliding Window</v>
      </c>
      <c r="D221" s="1">
        <v>5</v>
      </c>
      <c r="E221" s="1" t="str">
        <v>567 Permutation in String</v>
      </c>
      <c r="F221" s="1" t="str">
        <v>Medium</v>
      </c>
      <c r="G221" s="1">
        <v>0</v>
      </c>
      <c r="H221" s="1">
        <f>IFERROR(IF(B221="dsa",CHOOSE(G221+1,"Not started","Attempted","Solved with help","Solved unaided"),IF(OR(B221="bq",B221="res",B221="day"),CHOOSE(G221+1,"Not started","Done"),CHOOSE(G221+1,"Not started","In progress","Done"))),"invalid")</f>
      </c>
      <c r="L221" s="1">
        <f>HYPERLINK("https://leetcode.com/problems/permutation-in-string/","Open source")</f>
      </c>
    </row>
    <row r="222">
      <c r="A222" s="1" t="str">
        <v>dsa-76</v>
      </c>
      <c r="B222" s="1" t="str">
        <v>dsa</v>
      </c>
      <c r="C222" s="1" t="str">
        <v>Sliding Window</v>
      </c>
      <c r="D222" s="1">
        <v>5</v>
      </c>
      <c r="E222" s="1" t="str">
        <v>76 Minimum Window Substring</v>
      </c>
      <c r="F222" s="1" t="str">
        <v>Hard</v>
      </c>
      <c r="G222" s="1">
        <v>0</v>
      </c>
      <c r="H222" s="1">
        <f>IFERROR(IF(B222="dsa",CHOOSE(G222+1,"Not started","Attempted","Solved with help","Solved unaided"),IF(OR(B222="bq",B222="res",B222="day"),CHOOSE(G222+1,"Not started","Done"),CHOOSE(G222+1,"Not started","In progress","Done"))),"invalid")</f>
      </c>
      <c r="L222" s="1">
        <f>HYPERLINK("https://leetcode.com/problems/minimum-window-substring/","Open source")</f>
      </c>
    </row>
    <row r="223">
      <c r="A223" s="1" t="str">
        <v>dsa-239</v>
      </c>
      <c r="B223" s="1" t="str">
        <v>dsa</v>
      </c>
      <c r="C223" s="1" t="str">
        <v>Sliding Window</v>
      </c>
      <c r="D223" s="1">
        <v>5</v>
      </c>
      <c r="E223" s="1" t="str">
        <v>239 Sliding Window Maximum</v>
      </c>
      <c r="F223" s="1" t="str">
        <v>Hard — Monotonic deque</v>
      </c>
      <c r="G223" s="1">
        <v>0</v>
      </c>
      <c r="H223" s="1">
        <f>IFERROR(IF(B223="dsa",CHOOSE(G223+1,"Not started","Attempted","Solved with help","Solved unaided"),IF(OR(B223="bq",B223="res",B223="day"),CHOOSE(G223+1,"Not started","Done"),CHOOSE(G223+1,"Not started","In progress","Done"))),"invalid")</f>
      </c>
      <c r="L223" s="1">
        <f>HYPERLINK("https://leetcode.com/problems/sliding-window-maximum/","Open source")</f>
      </c>
    </row>
    <row r="224">
      <c r="A224" s="1" t="str">
        <v>dsa-20</v>
      </c>
      <c r="B224" s="1" t="str">
        <v>dsa</v>
      </c>
      <c r="C224" s="1" t="str">
        <v>Stack</v>
      </c>
      <c r="D224" s="1">
        <v>6</v>
      </c>
      <c r="E224" s="1" t="str">
        <v>20 Valid Parentheses</v>
      </c>
      <c r="F224" s="1" t="str">
        <v>Easy</v>
      </c>
      <c r="G224" s="1">
        <v>0</v>
      </c>
      <c r="H224" s="1">
        <f>IFERROR(IF(B224="dsa",CHOOSE(G224+1,"Not started","Attempted","Solved with help","Solved unaided"),IF(OR(B224="bq",B224="res",B224="day"),CHOOSE(G224+1,"Not started","Done"),CHOOSE(G224+1,"Not started","In progress","Done"))),"invalid")</f>
      </c>
      <c r="L224" s="1">
        <f>HYPERLINK("https://leetcode.com/problems/valid-parentheses/","Open source")</f>
      </c>
    </row>
    <row r="225">
      <c r="A225" s="1" t="str">
        <v>dsa-155</v>
      </c>
      <c r="B225" s="1" t="str">
        <v>dsa</v>
      </c>
      <c r="C225" s="1" t="str">
        <v>Stack</v>
      </c>
      <c r="D225" s="1">
        <v>6</v>
      </c>
      <c r="E225" s="1" t="str">
        <v>155 Min Stack</v>
      </c>
      <c r="F225" s="1" t="str">
        <v>Medium</v>
      </c>
      <c r="G225" s="1">
        <v>0</v>
      </c>
      <c r="H225" s="1">
        <f>IFERROR(IF(B225="dsa",CHOOSE(G225+1,"Not started","Attempted","Solved with help","Solved unaided"),IF(OR(B225="bq",B225="res",B225="day"),CHOOSE(G225+1,"Not started","Done"),CHOOSE(G225+1,"Not started","In progress","Done"))),"invalid")</f>
      </c>
      <c r="L225" s="1">
        <f>HYPERLINK("https://leetcode.com/problems/min-stack/","Open source")</f>
      </c>
    </row>
    <row r="226">
      <c r="A226" s="1" t="str">
        <v>dsa-150</v>
      </c>
      <c r="B226" s="1" t="str">
        <v>dsa</v>
      </c>
      <c r="C226" s="1" t="str">
        <v>Stack</v>
      </c>
      <c r="D226" s="1">
        <v>6</v>
      </c>
      <c r="E226" s="1" t="str">
        <v>150 Evaluate Reverse Polish Notation</v>
      </c>
      <c r="F226" s="1" t="str">
        <v>Medium</v>
      </c>
      <c r="G226" s="1">
        <v>0</v>
      </c>
      <c r="H226" s="1">
        <f>IFERROR(IF(B226="dsa",CHOOSE(G226+1,"Not started","Attempted","Solved with help","Solved unaided"),IF(OR(B226="bq",B226="res",B226="day"),CHOOSE(G226+1,"Not started","Done"),CHOOSE(G226+1,"Not started","In progress","Done"))),"invalid")</f>
      </c>
      <c r="L226" s="1">
        <f>HYPERLINK("https://leetcode.com/problems/evaluate-reverse-polish-notation/","Open source")</f>
      </c>
    </row>
    <row r="227">
      <c r="A227" s="1" t="str">
        <v>dsa-22</v>
      </c>
      <c r="B227" s="1" t="str">
        <v>dsa</v>
      </c>
      <c r="C227" s="1" t="str">
        <v>Stack</v>
      </c>
      <c r="D227" s="1">
        <v>6</v>
      </c>
      <c r="E227" s="1" t="str">
        <v>22 Generate Parentheses</v>
      </c>
      <c r="F227" s="1" t="str">
        <v>Medium</v>
      </c>
      <c r="G227" s="1">
        <v>0</v>
      </c>
      <c r="H227" s="1">
        <f>IFERROR(IF(B227="dsa",CHOOSE(G227+1,"Not started","Attempted","Solved with help","Solved unaided"),IF(OR(B227="bq",B227="res",B227="day"),CHOOSE(G227+1,"Not started","Done"),CHOOSE(G227+1,"Not started","In progress","Done"))),"invalid")</f>
      </c>
      <c r="L227" s="1">
        <f>HYPERLINK("https://leetcode.com/problems/generate-parentheses/","Open source")</f>
      </c>
    </row>
    <row r="228">
      <c r="A228" s="1" t="str">
        <v>dsa-739</v>
      </c>
      <c r="B228" s="1" t="str">
        <v>dsa</v>
      </c>
      <c r="C228" s="1" t="str">
        <v>Monotonic Stack</v>
      </c>
      <c r="D228" s="1">
        <v>6</v>
      </c>
      <c r="E228" s="1" t="str">
        <v>739 Daily Temperatures</v>
      </c>
      <c r="F228" s="1" t="str">
        <v>Medium</v>
      </c>
      <c r="G228" s="1">
        <v>0</v>
      </c>
      <c r="H228" s="1">
        <f>IFERROR(IF(B228="dsa",CHOOSE(G228+1,"Not started","Attempted","Solved with help","Solved unaided"),IF(OR(B228="bq",B228="res",B228="day"),CHOOSE(G228+1,"Not started","Done"),CHOOSE(G228+1,"Not started","In progress","Done"))),"invalid")</f>
      </c>
      <c r="L228" s="1">
        <f>HYPERLINK("https://leetcode.com/problems/daily-temperatures/","Open source")</f>
      </c>
    </row>
    <row r="229">
      <c r="A229" s="1" t="str">
        <v>dsa-853</v>
      </c>
      <c r="B229" s="1" t="str">
        <v>dsa</v>
      </c>
      <c r="C229" s="1" t="str">
        <v>Monotonic Stack</v>
      </c>
      <c r="D229" s="1">
        <v>6</v>
      </c>
      <c r="E229" s="1" t="str">
        <v>853 Car Fleet</v>
      </c>
      <c r="F229" s="1" t="str">
        <v>Medium</v>
      </c>
      <c r="G229" s="1">
        <v>0</v>
      </c>
      <c r="H229" s="1">
        <f>IFERROR(IF(B229="dsa",CHOOSE(G229+1,"Not started","Attempted","Solved with help","Solved unaided"),IF(OR(B229="bq",B229="res",B229="day"),CHOOSE(G229+1,"Not started","Done"),CHOOSE(G229+1,"Not started","In progress","Done"))),"invalid")</f>
      </c>
      <c r="L229" s="1">
        <f>HYPERLINK("https://leetcode.com/problems/car-fleet/","Open source")</f>
      </c>
    </row>
    <row r="230">
      <c r="A230" s="1" t="str">
        <v>dsa-84</v>
      </c>
      <c r="B230" s="1" t="str">
        <v>dsa</v>
      </c>
      <c r="C230" s="1" t="str">
        <v>Monotonic Stack</v>
      </c>
      <c r="D230" s="1">
        <v>6</v>
      </c>
      <c r="E230" s="1" t="str">
        <v>84 Largest Rectangle in Histogram</v>
      </c>
      <c r="F230" s="1" t="str">
        <v>Hard</v>
      </c>
      <c r="G230" s="1">
        <v>0</v>
      </c>
      <c r="H230" s="1">
        <f>IFERROR(IF(B230="dsa",CHOOSE(G230+1,"Not started","Attempted","Solved with help","Solved unaided"),IF(OR(B230="bq",B230="res",B230="day"),CHOOSE(G230+1,"Not started","Done"),CHOOSE(G230+1,"Not started","In progress","Done"))),"invalid")</f>
      </c>
      <c r="L230" s="1">
        <f>HYPERLINK("https://leetcode.com/problems/largest-rectangle-in-histogram/","Open source")</f>
      </c>
    </row>
    <row r="231">
      <c r="A231" s="1" t="str">
        <v>dsa-704</v>
      </c>
      <c r="B231" s="1" t="str">
        <v>dsa</v>
      </c>
      <c r="C231" s="1" t="str">
        <v>Binary Search</v>
      </c>
      <c r="D231" s="1">
        <v>7</v>
      </c>
      <c r="E231" s="1" t="str">
        <v>704 Binary Search</v>
      </c>
      <c r="F231" s="1" t="str">
        <v>Easy</v>
      </c>
      <c r="G231" s="1">
        <v>0</v>
      </c>
      <c r="H231" s="1">
        <f>IFERROR(IF(B231="dsa",CHOOSE(G231+1,"Not started","Attempted","Solved with help","Solved unaided"),IF(OR(B231="bq",B231="res",B231="day"),CHOOSE(G231+1,"Not started","Done"),CHOOSE(G231+1,"Not started","In progress","Done"))),"invalid")</f>
      </c>
      <c r="L231" s="1">
        <f>HYPERLINK("https://leetcode.com/problems/binary-search/","Open source")</f>
      </c>
    </row>
    <row r="232">
      <c r="A232" s="1" t="str">
        <v>dsa-74</v>
      </c>
      <c r="B232" s="1" t="str">
        <v>dsa</v>
      </c>
      <c r="C232" s="1" t="str">
        <v>Binary Search</v>
      </c>
      <c r="D232" s="1">
        <v>7</v>
      </c>
      <c r="E232" s="1" t="str">
        <v>74 Search a 2D Matrix</v>
      </c>
      <c r="F232" s="1" t="str">
        <v>Medium</v>
      </c>
      <c r="G232" s="1">
        <v>0</v>
      </c>
      <c r="H232" s="1">
        <f>IFERROR(IF(B232="dsa",CHOOSE(G232+1,"Not started","Attempted","Solved with help","Solved unaided"),IF(OR(B232="bq",B232="res",B232="day"),CHOOSE(G232+1,"Not started","Done"),CHOOSE(G232+1,"Not started","In progress","Done"))),"invalid")</f>
      </c>
      <c r="L232" s="1">
        <f>HYPERLINK("https://leetcode.com/problems/search-a-2d-matrix/","Open source")</f>
      </c>
    </row>
    <row r="233">
      <c r="A233" s="1" t="str">
        <v>dsa-875</v>
      </c>
      <c r="B233" s="1" t="str">
        <v>dsa</v>
      </c>
      <c r="C233" s="1" t="str">
        <v>Binary Search</v>
      </c>
      <c r="D233" s="1">
        <v>7</v>
      </c>
      <c r="E233" s="1" t="str">
        <v>875 Koko Eating Bananas</v>
      </c>
      <c r="F233" s="1" t="str">
        <v>Medium — Search on answer space</v>
      </c>
      <c r="G233" s="1">
        <v>0</v>
      </c>
      <c r="H233" s="1">
        <f>IFERROR(IF(B233="dsa",CHOOSE(G233+1,"Not started","Attempted","Solved with help","Solved unaided"),IF(OR(B233="bq",B233="res",B233="day"),CHOOSE(G233+1,"Not started","Done"),CHOOSE(G233+1,"Not started","In progress","Done"))),"invalid")</f>
      </c>
      <c r="L233" s="1">
        <f>HYPERLINK("https://leetcode.com/problems/koko-eating-bananas/","Open source")</f>
      </c>
    </row>
    <row r="234">
      <c r="A234" s="1" t="str">
        <v>dsa-153</v>
      </c>
      <c r="B234" s="1" t="str">
        <v>dsa</v>
      </c>
      <c r="C234" s="1" t="str">
        <v>Binary Search</v>
      </c>
      <c r="D234" s="1">
        <v>7</v>
      </c>
      <c r="E234" s="1" t="str">
        <v>153 Find Minimum in Rotated Sorted Array</v>
      </c>
      <c r="F234" s="1" t="str">
        <v>Medium</v>
      </c>
      <c r="G234" s="1">
        <v>0</v>
      </c>
      <c r="H234" s="1">
        <f>IFERROR(IF(B234="dsa",CHOOSE(G234+1,"Not started","Attempted","Solved with help","Solved unaided"),IF(OR(B234="bq",B234="res",B234="day"),CHOOSE(G234+1,"Not started","Done"),CHOOSE(G234+1,"Not started","In progress","Done"))),"invalid")</f>
      </c>
      <c r="L234" s="1">
        <f>HYPERLINK("https://leetcode.com/problems/find-minimum-in-rotated-sorted-array/","Open source")</f>
      </c>
    </row>
    <row r="235">
      <c r="A235" s="1" t="str">
        <v>dsa-33</v>
      </c>
      <c r="B235" s="1" t="str">
        <v>dsa</v>
      </c>
      <c r="C235" s="1" t="str">
        <v>Binary Search</v>
      </c>
      <c r="D235" s="1">
        <v>7</v>
      </c>
      <c r="E235" s="1" t="str">
        <v>33 Search in Rotated Sorted Array</v>
      </c>
      <c r="F235" s="1" t="str">
        <v>Medium</v>
      </c>
      <c r="G235" s="1">
        <v>0</v>
      </c>
      <c r="H235" s="1">
        <f>IFERROR(IF(B235="dsa",CHOOSE(G235+1,"Not started","Attempted","Solved with help","Solved unaided"),IF(OR(B235="bq",B235="res",B235="day"),CHOOSE(G235+1,"Not started","Done"),CHOOSE(G235+1,"Not started","In progress","Done"))),"invalid")</f>
      </c>
      <c r="L235" s="1">
        <f>HYPERLINK("https://leetcode.com/problems/search-in-rotated-sorted-array/","Open source")</f>
      </c>
    </row>
    <row r="236">
      <c r="A236" s="1" t="str">
        <v>dsa-981</v>
      </c>
      <c r="B236" s="1" t="str">
        <v>dsa</v>
      </c>
      <c r="C236" s="1" t="str">
        <v>Binary Search</v>
      </c>
      <c r="D236" s="1">
        <v>7</v>
      </c>
      <c r="E236" s="1" t="str">
        <v>981 Time Based Key-Value Store</v>
      </c>
      <c r="F236" s="1" t="str">
        <v>Medium</v>
      </c>
      <c r="G236" s="1">
        <v>0</v>
      </c>
      <c r="H236" s="1">
        <f>IFERROR(IF(B236="dsa",CHOOSE(G236+1,"Not started","Attempted","Solved with help","Solved unaided"),IF(OR(B236="bq",B236="res",B236="day"),CHOOSE(G236+1,"Not started","Done"),CHOOSE(G236+1,"Not started","In progress","Done"))),"invalid")</f>
      </c>
      <c r="L236" s="1">
        <f>HYPERLINK("https://leetcode.com/problems/time-based-key-value-store/","Open source")</f>
      </c>
    </row>
    <row r="237">
      <c r="A237" s="1" t="str">
        <v>dsa-4</v>
      </c>
      <c r="B237" s="1" t="str">
        <v>dsa</v>
      </c>
      <c r="C237" s="1" t="str">
        <v>Binary Search</v>
      </c>
      <c r="D237" s="1">
        <v>7</v>
      </c>
      <c r="E237" s="1" t="str">
        <v>4 Median of Two Sorted Arrays</v>
      </c>
      <c r="F237" s="1" t="str">
        <v>Hard</v>
      </c>
      <c r="G237" s="1">
        <v>0</v>
      </c>
      <c r="H237" s="1">
        <f>IFERROR(IF(B237="dsa",CHOOSE(G237+1,"Not started","Attempted","Solved with help","Solved unaided"),IF(OR(B237="bq",B237="res",B237="day"),CHOOSE(G237+1,"Not started","Done"),CHOOSE(G237+1,"Not started","In progress","Done"))),"invalid")</f>
      </c>
      <c r="L237" s="1">
        <f>HYPERLINK("https://leetcode.com/problems/median-of-two-sorted-arrays/","Open source")</f>
      </c>
    </row>
    <row r="238">
      <c r="A238" s="1" t="str">
        <v>dsa-206</v>
      </c>
      <c r="B238" s="1" t="str">
        <v>dsa</v>
      </c>
      <c r="C238" s="1" t="str">
        <v>Linked List</v>
      </c>
      <c r="D238" s="1">
        <v>8</v>
      </c>
      <c r="E238" s="1" t="str">
        <v>206 Reverse Linked List</v>
      </c>
      <c r="F238" s="1" t="str">
        <v>Easy</v>
      </c>
      <c r="G238" s="1">
        <v>0</v>
      </c>
      <c r="H238" s="1">
        <f>IFERROR(IF(B238="dsa",CHOOSE(G238+1,"Not started","Attempted","Solved with help","Solved unaided"),IF(OR(B238="bq",B238="res",B238="day"),CHOOSE(G238+1,"Not started","Done"),CHOOSE(G238+1,"Not started","In progress","Done"))),"invalid")</f>
      </c>
      <c r="L238" s="1">
        <f>HYPERLINK("https://leetcode.com/problems/reverse-linked-list/","Open source")</f>
      </c>
    </row>
    <row r="239">
      <c r="A239" s="1" t="str">
        <v>dsa-21</v>
      </c>
      <c r="B239" s="1" t="str">
        <v>dsa</v>
      </c>
      <c r="C239" s="1" t="str">
        <v>Linked List</v>
      </c>
      <c r="D239" s="1">
        <v>8</v>
      </c>
      <c r="E239" s="1" t="str">
        <v>21 Merge Two Sorted Lists</v>
      </c>
      <c r="F239" s="1" t="str">
        <v>Easy</v>
      </c>
      <c r="G239" s="1">
        <v>0</v>
      </c>
      <c r="H239" s="1">
        <f>IFERROR(IF(B239="dsa",CHOOSE(G239+1,"Not started","Attempted","Solved with help","Solved unaided"),IF(OR(B239="bq",B239="res",B239="day"),CHOOSE(G239+1,"Not started","Done"),CHOOSE(G239+1,"Not started","In progress","Done"))),"invalid")</f>
      </c>
      <c r="L239" s="1">
        <f>HYPERLINK("https://leetcode.com/problems/merge-two-sorted-lists/","Open source")</f>
      </c>
    </row>
    <row r="240">
      <c r="A240" s="1" t="str">
        <v>dsa-141</v>
      </c>
      <c r="B240" s="1" t="str">
        <v>dsa</v>
      </c>
      <c r="C240" s="1" t="str">
        <v>Linked List</v>
      </c>
      <c r="D240" s="1">
        <v>8</v>
      </c>
      <c r="E240" s="1" t="str">
        <v>141 Linked List Cycle</v>
      </c>
      <c r="F240" s="1" t="str">
        <v>Easy</v>
      </c>
      <c r="G240" s="1">
        <v>0</v>
      </c>
      <c r="H240" s="1">
        <f>IFERROR(IF(B240="dsa",CHOOSE(G240+1,"Not started","Attempted","Solved with help","Solved unaided"),IF(OR(B240="bq",B240="res",B240="day"),CHOOSE(G240+1,"Not started","Done"),CHOOSE(G240+1,"Not started","In progress","Done"))),"invalid")</f>
      </c>
      <c r="L240" s="1">
        <f>HYPERLINK("https://leetcode.com/problems/linked-list-cycle/","Open source")</f>
      </c>
    </row>
    <row r="241">
      <c r="A241" s="1" t="str">
        <v>dsa-143</v>
      </c>
      <c r="B241" s="1" t="str">
        <v>dsa</v>
      </c>
      <c r="C241" s="1" t="str">
        <v>Linked List</v>
      </c>
      <c r="D241" s="1">
        <v>8</v>
      </c>
      <c r="E241" s="1" t="str">
        <v>143 Reorder List</v>
      </c>
      <c r="F241" s="1" t="str">
        <v>Medium</v>
      </c>
      <c r="G241" s="1">
        <v>0</v>
      </c>
      <c r="H241" s="1">
        <f>IFERROR(IF(B241="dsa",CHOOSE(G241+1,"Not started","Attempted","Solved with help","Solved unaided"),IF(OR(B241="bq",B241="res",B241="day"),CHOOSE(G241+1,"Not started","Done"),CHOOSE(G241+1,"Not started","In progress","Done"))),"invalid")</f>
      </c>
      <c r="L241" s="1">
        <f>HYPERLINK("https://leetcode.com/problems/reorder-list/","Open source")</f>
      </c>
    </row>
    <row r="242">
      <c r="A242" s="1" t="str">
        <v>dsa-19</v>
      </c>
      <c r="B242" s="1" t="str">
        <v>dsa</v>
      </c>
      <c r="C242" s="1" t="str">
        <v>Linked List</v>
      </c>
      <c r="D242" s="1">
        <v>8</v>
      </c>
      <c r="E242" s="1" t="str">
        <v>19 Remove Nth Node From End of List</v>
      </c>
      <c r="F242" s="1" t="str">
        <v>Medium</v>
      </c>
      <c r="G242" s="1">
        <v>0</v>
      </c>
      <c r="H242" s="1">
        <f>IFERROR(IF(B242="dsa",CHOOSE(G242+1,"Not started","Attempted","Solved with help","Solved unaided"),IF(OR(B242="bq",B242="res",B242="day"),CHOOSE(G242+1,"Not started","Done"),CHOOSE(G242+1,"Not started","In progress","Done"))),"invalid")</f>
      </c>
      <c r="L242" s="1">
        <f>HYPERLINK("https://leetcode.com/problems/remove-nth-node-from-end-of-list/","Open source")</f>
      </c>
    </row>
    <row r="243">
      <c r="A243" s="1" t="str">
        <v>dsa-138</v>
      </c>
      <c r="B243" s="1" t="str">
        <v>dsa</v>
      </c>
      <c r="C243" s="1" t="str">
        <v>Linked List</v>
      </c>
      <c r="D243" s="1">
        <v>8</v>
      </c>
      <c r="E243" s="1" t="str">
        <v>138 Copy List with Random Pointer</v>
      </c>
      <c r="F243" s="1" t="str">
        <v>Medium</v>
      </c>
      <c r="G243" s="1">
        <v>0</v>
      </c>
      <c r="H243" s="1">
        <f>IFERROR(IF(B243="dsa",CHOOSE(G243+1,"Not started","Attempted","Solved with help","Solved unaided"),IF(OR(B243="bq",B243="res",B243="day"),CHOOSE(G243+1,"Not started","Done"),CHOOSE(G243+1,"Not started","In progress","Done"))),"invalid")</f>
      </c>
      <c r="L243" s="1">
        <f>HYPERLINK("https://leetcode.com/problems/copy-list-with-random-pointer/","Open source")</f>
      </c>
    </row>
    <row r="244">
      <c r="A244" s="1" t="str">
        <v>dsa-2</v>
      </c>
      <c r="B244" s="1" t="str">
        <v>dsa</v>
      </c>
      <c r="C244" s="1" t="str">
        <v>Linked List</v>
      </c>
      <c r="D244" s="1">
        <v>8</v>
      </c>
      <c r="E244" s="1" t="str">
        <v>2 Add Two Numbers</v>
      </c>
      <c r="F244" s="1" t="str">
        <v>Medium</v>
      </c>
      <c r="G244" s="1">
        <v>0</v>
      </c>
      <c r="H244" s="1">
        <f>IFERROR(IF(B244="dsa",CHOOSE(G244+1,"Not started","Attempted","Solved with help","Solved unaided"),IF(OR(B244="bq",B244="res",B244="day"),CHOOSE(G244+1,"Not started","Done"),CHOOSE(G244+1,"Not started","In progress","Done"))),"invalid")</f>
      </c>
      <c r="L244" s="1">
        <f>HYPERLINK("https://leetcode.com/problems/add-two-numbers/","Open source")</f>
      </c>
    </row>
    <row r="245">
      <c r="A245" s="1" t="str">
        <v>dsa-287</v>
      </c>
      <c r="B245" s="1" t="str">
        <v>dsa</v>
      </c>
      <c r="C245" s="1" t="str">
        <v>Linked List</v>
      </c>
      <c r="D245" s="1">
        <v>8</v>
      </c>
      <c r="E245" s="1" t="str">
        <v>287 Find the Duplicate Number</v>
      </c>
      <c r="F245" s="1" t="str">
        <v>Medium — Floyd cycle detection</v>
      </c>
      <c r="G245" s="1">
        <v>0</v>
      </c>
      <c r="H245" s="1">
        <f>IFERROR(IF(B245="dsa",CHOOSE(G245+1,"Not started","Attempted","Solved with help","Solved unaided"),IF(OR(B245="bq",B245="res",B245="day"),CHOOSE(G245+1,"Not started","Done"),CHOOSE(G245+1,"Not started","In progress","Done"))),"invalid")</f>
      </c>
      <c r="L245" s="1">
        <f>HYPERLINK("https://leetcode.com/problems/find-the-duplicate-number/","Open source")</f>
      </c>
    </row>
    <row r="246">
      <c r="A246" s="1" t="str">
        <v>dsa-146</v>
      </c>
      <c r="B246" s="1" t="str">
        <v>dsa</v>
      </c>
      <c r="C246" s="1" t="str">
        <v>Linked List</v>
      </c>
      <c r="D246" s="1">
        <v>8</v>
      </c>
      <c r="E246" s="1" t="str">
        <v>146 LRU Cache</v>
      </c>
      <c r="F246" s="1" t="str">
        <v>Medium — Design + LL; must be automatic</v>
      </c>
      <c r="G246" s="1">
        <v>0</v>
      </c>
      <c r="H246" s="1">
        <f>IFERROR(IF(B246="dsa",CHOOSE(G246+1,"Not started","Attempted","Solved with help","Solved unaided"),IF(OR(B246="bq",B246="res",B246="day"),CHOOSE(G246+1,"Not started","Done"),CHOOSE(G246+1,"Not started","In progress","Done"))),"invalid")</f>
      </c>
      <c r="L246" s="1">
        <f>HYPERLINK("https://leetcode.com/problems/lru-cache/","Open source")</f>
      </c>
    </row>
    <row r="247">
      <c r="A247" s="1" t="str">
        <v>dsa-23</v>
      </c>
      <c r="B247" s="1" t="str">
        <v>dsa</v>
      </c>
      <c r="C247" s="1" t="str">
        <v>Linked List</v>
      </c>
      <c r="D247" s="1">
        <v>8</v>
      </c>
      <c r="E247" s="1" t="str">
        <v>23 Merge k Sorted Lists</v>
      </c>
      <c r="F247" s="1" t="str">
        <v>Hard</v>
      </c>
      <c r="G247" s="1">
        <v>0</v>
      </c>
      <c r="H247" s="1">
        <f>IFERROR(IF(B247="dsa",CHOOSE(G247+1,"Not started","Attempted","Solved with help","Solved unaided"),IF(OR(B247="bq",B247="res",B247="day"),CHOOSE(G247+1,"Not started","Done"),CHOOSE(G247+1,"Not started","In progress","Done"))),"invalid")</f>
      </c>
      <c r="L247" s="1">
        <f>HYPERLINK("https://leetcode.com/problems/merge-k-sorted-lists/","Open source")</f>
      </c>
    </row>
    <row r="248">
      <c r="A248" s="1" t="str">
        <v>dsa-25</v>
      </c>
      <c r="B248" s="1" t="str">
        <v>dsa</v>
      </c>
      <c r="C248" s="1" t="str">
        <v>Linked List</v>
      </c>
      <c r="D248" s="1">
        <v>8</v>
      </c>
      <c r="E248" s="1" t="str">
        <v>25 Reverse Nodes in k-Group</v>
      </c>
      <c r="F248" s="1" t="str">
        <v>Hard</v>
      </c>
      <c r="G248" s="1">
        <v>0</v>
      </c>
      <c r="H248" s="1">
        <f>IFERROR(IF(B248="dsa",CHOOSE(G248+1,"Not started","Attempted","Solved with help","Solved unaided"),IF(OR(B248="bq",B248="res",B248="day"),CHOOSE(G248+1,"Not started","Done"),CHOOSE(G248+1,"Not started","In progress","Done"))),"invalid")</f>
      </c>
      <c r="L248" s="1">
        <f>HYPERLINK("https://leetcode.com/problems/reverse-nodes-in-k-group/","Open source")</f>
      </c>
    </row>
    <row r="249">
      <c r="A249" s="1" t="str">
        <v>dsa-226</v>
      </c>
      <c r="B249" s="1" t="str">
        <v>dsa</v>
      </c>
      <c r="C249" s="1" t="str">
        <v>Trees</v>
      </c>
      <c r="D249" s="1">
        <v>9</v>
      </c>
      <c r="E249" s="1" t="str">
        <v>226 Invert Binary Tree</v>
      </c>
      <c r="F249" s="1" t="str">
        <v>Easy</v>
      </c>
      <c r="G249" s="1">
        <v>0</v>
      </c>
      <c r="H249" s="1">
        <f>IFERROR(IF(B249="dsa",CHOOSE(G249+1,"Not started","Attempted","Solved with help","Solved unaided"),IF(OR(B249="bq",B249="res",B249="day"),CHOOSE(G249+1,"Not started","Done"),CHOOSE(G249+1,"Not started","In progress","Done"))),"invalid")</f>
      </c>
      <c r="L249" s="1">
        <f>HYPERLINK("https://leetcode.com/problems/invert-binary-tree/","Open source")</f>
      </c>
    </row>
    <row r="250">
      <c r="A250" s="1" t="str">
        <v>dsa-104</v>
      </c>
      <c r="B250" s="1" t="str">
        <v>dsa</v>
      </c>
      <c r="C250" s="1" t="str">
        <v>Trees</v>
      </c>
      <c r="D250" s="1">
        <v>9</v>
      </c>
      <c r="E250" s="1" t="str">
        <v>104 Maximum Depth of Binary Tree</v>
      </c>
      <c r="F250" s="1" t="str">
        <v>Easy</v>
      </c>
      <c r="G250" s="1">
        <v>0</v>
      </c>
      <c r="H250" s="1">
        <f>IFERROR(IF(B250="dsa",CHOOSE(G250+1,"Not started","Attempted","Solved with help","Solved unaided"),IF(OR(B250="bq",B250="res",B250="day"),CHOOSE(G250+1,"Not started","Done"),CHOOSE(G250+1,"Not started","In progress","Done"))),"invalid")</f>
      </c>
      <c r="L250" s="1">
        <f>HYPERLINK("https://leetcode.com/problems/maximum-depth-of-binary-tree/","Open source")</f>
      </c>
    </row>
    <row r="251">
      <c r="A251" s="1" t="str">
        <v>dsa-543</v>
      </c>
      <c r="B251" s="1" t="str">
        <v>dsa</v>
      </c>
      <c r="C251" s="1" t="str">
        <v>Trees</v>
      </c>
      <c r="D251" s="1">
        <v>9</v>
      </c>
      <c r="E251" s="1" t="str">
        <v>543 Diameter of Binary Tree</v>
      </c>
      <c r="F251" s="1" t="str">
        <v>Easy</v>
      </c>
      <c r="G251" s="1">
        <v>0</v>
      </c>
      <c r="H251" s="1">
        <f>IFERROR(IF(B251="dsa",CHOOSE(G251+1,"Not started","Attempted","Solved with help","Solved unaided"),IF(OR(B251="bq",B251="res",B251="day"),CHOOSE(G251+1,"Not started","Done"),CHOOSE(G251+1,"Not started","In progress","Done"))),"invalid")</f>
      </c>
      <c r="L251" s="1">
        <f>HYPERLINK("https://leetcode.com/problems/diameter-of-binary-tree/","Open source")</f>
      </c>
    </row>
    <row r="252">
      <c r="A252" s="1" t="str">
        <v>dsa-110</v>
      </c>
      <c r="B252" s="1" t="str">
        <v>dsa</v>
      </c>
      <c r="C252" s="1" t="str">
        <v>Trees</v>
      </c>
      <c r="D252" s="1">
        <v>9</v>
      </c>
      <c r="E252" s="1" t="str">
        <v>110 Balanced Binary Tree</v>
      </c>
      <c r="F252" s="1" t="str">
        <v>Easy</v>
      </c>
      <c r="G252" s="1">
        <v>0</v>
      </c>
      <c r="H252" s="1">
        <f>IFERROR(IF(B252="dsa",CHOOSE(G252+1,"Not started","Attempted","Solved with help","Solved unaided"),IF(OR(B252="bq",B252="res",B252="day"),CHOOSE(G252+1,"Not started","Done"),CHOOSE(G252+1,"Not started","In progress","Done"))),"invalid")</f>
      </c>
      <c r="L252" s="1">
        <f>HYPERLINK("https://leetcode.com/problems/balanced-binary-tree/","Open source")</f>
      </c>
    </row>
    <row r="253">
      <c r="A253" s="1" t="str">
        <v>dsa-100</v>
      </c>
      <c r="B253" s="1" t="str">
        <v>dsa</v>
      </c>
      <c r="C253" s="1" t="str">
        <v>Trees</v>
      </c>
      <c r="D253" s="1">
        <v>9</v>
      </c>
      <c r="E253" s="1" t="str">
        <v>100 Same Tree</v>
      </c>
      <c r="F253" s="1" t="str">
        <v>Easy</v>
      </c>
      <c r="G253" s="1">
        <v>0</v>
      </c>
      <c r="H253" s="1">
        <f>IFERROR(IF(B253="dsa",CHOOSE(G253+1,"Not started","Attempted","Solved with help","Solved unaided"),IF(OR(B253="bq",B253="res",B253="day"),CHOOSE(G253+1,"Not started","Done"),CHOOSE(G253+1,"Not started","In progress","Done"))),"invalid")</f>
      </c>
      <c r="L253" s="1">
        <f>HYPERLINK("https://leetcode.com/problems/same-tree/","Open source")</f>
      </c>
    </row>
    <row r="254">
      <c r="A254" s="1" t="str">
        <v>dsa-572</v>
      </c>
      <c r="B254" s="1" t="str">
        <v>dsa</v>
      </c>
      <c r="C254" s="1" t="str">
        <v>Trees</v>
      </c>
      <c r="D254" s="1">
        <v>9</v>
      </c>
      <c r="E254" s="1" t="str">
        <v>572 Subtree of Another Tree</v>
      </c>
      <c r="F254" s="1" t="str">
        <v>Easy</v>
      </c>
      <c r="G254" s="1">
        <v>0</v>
      </c>
      <c r="H254" s="1">
        <f>IFERROR(IF(B254="dsa",CHOOSE(G254+1,"Not started","Attempted","Solved with help","Solved unaided"),IF(OR(B254="bq",B254="res",B254="day"),CHOOSE(G254+1,"Not started","Done"),CHOOSE(G254+1,"Not started","In progress","Done"))),"invalid")</f>
      </c>
      <c r="L254" s="1">
        <f>HYPERLINK("https://leetcode.com/problems/subtree-of-another-tree/","Open source")</f>
      </c>
    </row>
    <row r="255">
      <c r="A255" s="1" t="str">
        <v>dsa-235</v>
      </c>
      <c r="B255" s="1" t="str">
        <v>dsa</v>
      </c>
      <c r="C255" s="1" t="str">
        <v>Trees</v>
      </c>
      <c r="D255" s="1">
        <v>9</v>
      </c>
      <c r="E255" s="1" t="str">
        <v>235 Lowest Common Ancestor of a Binary Search Tree</v>
      </c>
      <c r="F255" s="1" t="str">
        <v>Medium</v>
      </c>
      <c r="G255" s="1">
        <v>0</v>
      </c>
      <c r="H255" s="1">
        <f>IFERROR(IF(B255="dsa",CHOOSE(G255+1,"Not started","Attempted","Solved with help","Solved unaided"),IF(OR(B255="bq",B255="res",B255="day"),CHOOSE(G255+1,"Not started","Done"),CHOOSE(G255+1,"Not started","In progress","Done"))),"invalid")</f>
      </c>
      <c r="L255" s="1">
        <f>HYPERLINK("https://leetcode.com/problems/lowest-common-ancestor-of-a-binary-search-tree/","Open source")</f>
      </c>
    </row>
    <row r="256">
      <c r="A256" s="1" t="str">
        <v>dsa-102</v>
      </c>
      <c r="B256" s="1" t="str">
        <v>dsa</v>
      </c>
      <c r="C256" s="1" t="str">
        <v>Trees</v>
      </c>
      <c r="D256" s="1">
        <v>9</v>
      </c>
      <c r="E256" s="1" t="str">
        <v>102 Binary Tree Level Order Traversal</v>
      </c>
      <c r="F256" s="1" t="str">
        <v>Medium</v>
      </c>
      <c r="G256" s="1">
        <v>0</v>
      </c>
      <c r="H256" s="1">
        <f>IFERROR(IF(B256="dsa",CHOOSE(G256+1,"Not started","Attempted","Solved with help","Solved unaided"),IF(OR(B256="bq",B256="res",B256="day"),CHOOSE(G256+1,"Not started","Done"),CHOOSE(G256+1,"Not started","In progress","Done"))),"invalid")</f>
      </c>
      <c r="L256" s="1">
        <f>HYPERLINK("https://leetcode.com/problems/binary-tree-level-order-traversal/","Open source")</f>
      </c>
    </row>
    <row r="257">
      <c r="A257" s="1" t="str">
        <v>dsa-199</v>
      </c>
      <c r="B257" s="1" t="str">
        <v>dsa</v>
      </c>
      <c r="C257" s="1" t="str">
        <v>Trees</v>
      </c>
      <c r="D257" s="1">
        <v>9</v>
      </c>
      <c r="E257" s="1" t="str">
        <v>199 Binary Tree Right Side View</v>
      </c>
      <c r="F257" s="1" t="str">
        <v>Medium</v>
      </c>
      <c r="G257" s="1">
        <v>0</v>
      </c>
      <c r="H257" s="1">
        <f>IFERROR(IF(B257="dsa",CHOOSE(G257+1,"Not started","Attempted","Solved with help","Solved unaided"),IF(OR(B257="bq",B257="res",B257="day"),CHOOSE(G257+1,"Not started","Done"),CHOOSE(G257+1,"Not started","In progress","Done"))),"invalid")</f>
      </c>
      <c r="L257" s="1">
        <f>HYPERLINK("https://leetcode.com/problems/binary-tree-right-side-view/","Open source")</f>
      </c>
    </row>
    <row r="258">
      <c r="A258" s="1" t="str">
        <v>dsa-1448</v>
      </c>
      <c r="B258" s="1" t="str">
        <v>dsa</v>
      </c>
      <c r="C258" s="1" t="str">
        <v>Trees</v>
      </c>
      <c r="D258" s="1">
        <v>9</v>
      </c>
      <c r="E258" s="1" t="str">
        <v>1448 Count Good Nodes in Binary Tree</v>
      </c>
      <c r="F258" s="1" t="str">
        <v>Medium</v>
      </c>
      <c r="G258" s="1">
        <v>0</v>
      </c>
      <c r="H258" s="1">
        <f>IFERROR(IF(B258="dsa",CHOOSE(G258+1,"Not started","Attempted","Solved with help","Solved unaided"),IF(OR(B258="bq",B258="res",B258="day"),CHOOSE(G258+1,"Not started","Done"),CHOOSE(G258+1,"Not started","In progress","Done"))),"invalid")</f>
      </c>
      <c r="L258" s="1">
        <f>HYPERLINK("https://leetcode.com/problems/count-good-nodes-in-binary-tree/","Open source")</f>
      </c>
    </row>
    <row r="259">
      <c r="A259" s="1" t="str">
        <v>dsa-98</v>
      </c>
      <c r="B259" s="1" t="str">
        <v>dsa</v>
      </c>
      <c r="C259" s="1" t="str">
        <v>Trees</v>
      </c>
      <c r="D259" s="1">
        <v>9</v>
      </c>
      <c r="E259" s="1" t="str">
        <v>98 Validate Binary Search Tree</v>
      </c>
      <c r="F259" s="1" t="str">
        <v>Medium</v>
      </c>
      <c r="G259" s="1">
        <v>0</v>
      </c>
      <c r="H259" s="1">
        <f>IFERROR(IF(B259="dsa",CHOOSE(G259+1,"Not started","Attempted","Solved with help","Solved unaided"),IF(OR(B259="bq",B259="res",B259="day"),CHOOSE(G259+1,"Not started","Done"),CHOOSE(G259+1,"Not started","In progress","Done"))),"invalid")</f>
      </c>
      <c r="L259" s="1">
        <f>HYPERLINK("https://leetcode.com/problems/validate-binary-search-tree/","Open source")</f>
      </c>
    </row>
    <row r="260">
      <c r="A260" s="1" t="str">
        <v>dsa-230</v>
      </c>
      <c r="B260" s="1" t="str">
        <v>dsa</v>
      </c>
      <c r="C260" s="1" t="str">
        <v>Trees</v>
      </c>
      <c r="D260" s="1">
        <v>9</v>
      </c>
      <c r="E260" s="1" t="str">
        <v>230 Kth Smallest Element in a BST</v>
      </c>
      <c r="F260" s="1" t="str">
        <v>Medium</v>
      </c>
      <c r="G260" s="1">
        <v>0</v>
      </c>
      <c r="H260" s="1">
        <f>IFERROR(IF(B260="dsa",CHOOSE(G260+1,"Not started","Attempted","Solved with help","Solved unaided"),IF(OR(B260="bq",B260="res",B260="day"),CHOOSE(G260+1,"Not started","Done"),CHOOSE(G260+1,"Not started","In progress","Done"))),"invalid")</f>
      </c>
      <c r="L260" s="1">
        <f>HYPERLINK("https://leetcode.com/problems/kth-smallest-element-in-a-bst/","Open source")</f>
      </c>
    </row>
    <row r="261">
      <c r="A261" s="1" t="str">
        <v>dsa-105</v>
      </c>
      <c r="B261" s="1" t="str">
        <v>dsa</v>
      </c>
      <c r="C261" s="1" t="str">
        <v>Trees</v>
      </c>
      <c r="D261" s="1">
        <v>9</v>
      </c>
      <c r="E261" s="1" t="str">
        <v>105 Construct Binary Tree from Preorder and Inorder Traversal</v>
      </c>
      <c r="F261" s="1" t="str">
        <v>Medium</v>
      </c>
      <c r="G261" s="1">
        <v>0</v>
      </c>
      <c r="H261" s="1">
        <f>IFERROR(IF(B261="dsa",CHOOSE(G261+1,"Not started","Attempted","Solved with help","Solved unaided"),IF(OR(B261="bq",B261="res",B261="day"),CHOOSE(G261+1,"Not started","Done"),CHOOSE(G261+1,"Not started","In progress","Done"))),"invalid")</f>
      </c>
      <c r="L261" s="1">
        <f>HYPERLINK("https://leetcode.com/problems/construct-binary-tree-from-preorder-and-inorder-traversal/","Open source")</f>
      </c>
    </row>
    <row r="262">
      <c r="A262" s="1" t="str">
        <v>dsa-124</v>
      </c>
      <c r="B262" s="1" t="str">
        <v>dsa</v>
      </c>
      <c r="C262" s="1" t="str">
        <v>Trees</v>
      </c>
      <c r="D262" s="1">
        <v>9</v>
      </c>
      <c r="E262" s="1" t="str">
        <v>124 Binary Tree Maximum Path Sum</v>
      </c>
      <c r="F262" s="1" t="str">
        <v>Hard</v>
      </c>
      <c r="G262" s="1">
        <v>0</v>
      </c>
      <c r="H262" s="1">
        <f>IFERROR(IF(B262="dsa",CHOOSE(G262+1,"Not started","Attempted","Solved with help","Solved unaided"),IF(OR(B262="bq",B262="res",B262="day"),CHOOSE(G262+1,"Not started","Done"),CHOOSE(G262+1,"Not started","In progress","Done"))),"invalid")</f>
      </c>
      <c r="L262" s="1">
        <f>HYPERLINK("https://leetcode.com/problems/binary-tree-maximum-path-sum/","Open source")</f>
      </c>
    </row>
    <row r="263">
      <c r="A263" s="1" t="str">
        <v>dsa-297</v>
      </c>
      <c r="B263" s="1" t="str">
        <v>dsa</v>
      </c>
      <c r="C263" s="1" t="str">
        <v>Trees</v>
      </c>
      <c r="D263" s="1">
        <v>9</v>
      </c>
      <c r="E263" s="1" t="str">
        <v>297 Serialize and Deserialize Binary Tree</v>
      </c>
      <c r="F263" s="1" t="str">
        <v>Hard — Common at Google</v>
      </c>
      <c r="G263" s="1">
        <v>0</v>
      </c>
      <c r="H263" s="1">
        <f>IFERROR(IF(B263="dsa",CHOOSE(G263+1,"Not started","Attempted","Solved with help","Solved unaided"),IF(OR(B263="bq",B263="res",B263="day"),CHOOSE(G263+1,"Not started","Done"),CHOOSE(G263+1,"Not started","In progress","Done"))),"invalid")</f>
      </c>
      <c r="L263" s="1">
        <f>HYPERLINK("https://leetcode.com/problems/serialize-and-deserialize-binary-tree/","Open source")</f>
      </c>
    </row>
    <row r="264">
      <c r="A264" s="1" t="str">
        <v>dsa-208</v>
      </c>
      <c r="B264" s="1" t="str">
        <v>dsa</v>
      </c>
      <c r="C264" s="1" t="str">
        <v>Tries</v>
      </c>
      <c r="D264" s="1">
        <v>10</v>
      </c>
      <c r="E264" s="1" t="str">
        <v>208 Implement Trie (Prefix Tree)</v>
      </c>
      <c r="F264" s="1" t="str">
        <v>Medium</v>
      </c>
      <c r="G264" s="1">
        <v>0</v>
      </c>
      <c r="H264" s="1">
        <f>IFERROR(IF(B264="dsa",CHOOSE(G264+1,"Not started","Attempted","Solved with help","Solved unaided"),IF(OR(B264="bq",B264="res",B264="day"),CHOOSE(G264+1,"Not started","Done"),CHOOSE(G264+1,"Not started","In progress","Done"))),"invalid")</f>
      </c>
      <c r="L264" s="1">
        <f>HYPERLINK("https://leetcode.com/problems/implement-trie-prefix-tree/","Open source")</f>
      </c>
    </row>
    <row r="265">
      <c r="A265" s="1" t="str">
        <v>dsa-211</v>
      </c>
      <c r="B265" s="1" t="str">
        <v>dsa</v>
      </c>
      <c r="C265" s="1" t="str">
        <v>Tries</v>
      </c>
      <c r="D265" s="1">
        <v>10</v>
      </c>
      <c r="E265" s="1" t="str">
        <v>211 Design Add and Search Words Data Structure</v>
      </c>
      <c r="F265" s="1" t="str">
        <v>Medium</v>
      </c>
      <c r="G265" s="1">
        <v>0</v>
      </c>
      <c r="H265" s="1">
        <f>IFERROR(IF(B265="dsa",CHOOSE(G265+1,"Not started","Attempted","Solved with help","Solved unaided"),IF(OR(B265="bq",B265="res",B265="day"),CHOOSE(G265+1,"Not started","Done"),CHOOSE(G265+1,"Not started","In progress","Done"))),"invalid")</f>
      </c>
      <c r="L265" s="1">
        <f>HYPERLINK("https://leetcode.com/problems/design-add-and-search-words-data-structure/","Open source")</f>
      </c>
    </row>
    <row r="266">
      <c r="A266" s="1" t="str">
        <v>dsa-212</v>
      </c>
      <c r="B266" s="1" t="str">
        <v>dsa</v>
      </c>
      <c r="C266" s="1" t="str">
        <v>Tries</v>
      </c>
      <c r="D266" s="1">
        <v>10</v>
      </c>
      <c r="E266" s="1" t="str">
        <v>212 Word Search II</v>
      </c>
      <c r="F266" s="1" t="str">
        <v>Hard</v>
      </c>
      <c r="G266" s="1">
        <v>0</v>
      </c>
      <c r="H266" s="1">
        <f>IFERROR(IF(B266="dsa",CHOOSE(G266+1,"Not started","Attempted","Solved with help","Solved unaided"),IF(OR(B266="bq",B266="res",B266="day"),CHOOSE(G266+1,"Not started","Done"),CHOOSE(G266+1,"Not started","In progress","Done"))),"invalid")</f>
      </c>
      <c r="L266" s="1">
        <f>HYPERLINK("https://leetcode.com/problems/word-search-ii/","Open source")</f>
      </c>
    </row>
    <row r="267">
      <c r="A267" s="1" t="str">
        <v>dsa-703</v>
      </c>
      <c r="B267" s="1" t="str">
        <v>dsa</v>
      </c>
      <c r="C267" s="1" t="str">
        <v>Heap</v>
      </c>
      <c r="D267" s="1">
        <v>10</v>
      </c>
      <c r="E267" s="1" t="str">
        <v>703 Kth Largest Element in a Stream</v>
      </c>
      <c r="F267" s="1" t="str">
        <v>Easy</v>
      </c>
      <c r="G267" s="1">
        <v>0</v>
      </c>
      <c r="H267" s="1">
        <f>IFERROR(IF(B267="dsa",CHOOSE(G267+1,"Not started","Attempted","Solved with help","Solved unaided"),IF(OR(B267="bq",B267="res",B267="day"),CHOOSE(G267+1,"Not started","Done"),CHOOSE(G267+1,"Not started","In progress","Done"))),"invalid")</f>
      </c>
      <c r="L267" s="1">
        <f>HYPERLINK("https://leetcode.com/problems/kth-largest-element-in-a-stream/","Open source")</f>
      </c>
    </row>
    <row r="268">
      <c r="A268" s="1" t="str">
        <v>dsa-1046</v>
      </c>
      <c r="B268" s="1" t="str">
        <v>dsa</v>
      </c>
      <c r="C268" s="1" t="str">
        <v>Heap</v>
      </c>
      <c r="D268" s="1">
        <v>10</v>
      </c>
      <c r="E268" s="1" t="str">
        <v>1046 Last Stone Weight</v>
      </c>
      <c r="F268" s="1" t="str">
        <v>Easy</v>
      </c>
      <c r="G268" s="1">
        <v>0</v>
      </c>
      <c r="H268" s="1">
        <f>IFERROR(IF(B268="dsa",CHOOSE(G268+1,"Not started","Attempted","Solved with help","Solved unaided"),IF(OR(B268="bq",B268="res",B268="day"),CHOOSE(G268+1,"Not started","Done"),CHOOSE(G268+1,"Not started","In progress","Done"))),"invalid")</f>
      </c>
      <c r="L268" s="1">
        <f>HYPERLINK("https://leetcode.com/problems/last-stone-weight/","Open source")</f>
      </c>
    </row>
    <row r="269">
      <c r="A269" s="1" t="str">
        <v>dsa-973</v>
      </c>
      <c r="B269" s="1" t="str">
        <v>dsa</v>
      </c>
      <c r="C269" s="1" t="str">
        <v>Heap</v>
      </c>
      <c r="D269" s="1">
        <v>10</v>
      </c>
      <c r="E269" s="1" t="str">
        <v>973 K Closest Points to Origin</v>
      </c>
      <c r="F269" s="1" t="str">
        <v>Medium</v>
      </c>
      <c r="G269" s="1">
        <v>0</v>
      </c>
      <c r="H269" s="1">
        <f>IFERROR(IF(B269="dsa",CHOOSE(G269+1,"Not started","Attempted","Solved with help","Solved unaided"),IF(OR(B269="bq",B269="res",B269="day"),CHOOSE(G269+1,"Not started","Done"),CHOOSE(G269+1,"Not started","In progress","Done"))),"invalid")</f>
      </c>
      <c r="L269" s="1">
        <f>HYPERLINK("https://leetcode.com/problems/k-closest-points-to-origin/","Open source")</f>
      </c>
    </row>
    <row r="270">
      <c r="A270" s="1" t="str">
        <v>dsa-215</v>
      </c>
      <c r="B270" s="1" t="str">
        <v>dsa</v>
      </c>
      <c r="C270" s="1" t="str">
        <v>Heap</v>
      </c>
      <c r="D270" s="1">
        <v>10</v>
      </c>
      <c r="E270" s="1" t="str">
        <v>215 Kth Largest Element in an Array</v>
      </c>
      <c r="F270" s="1" t="str">
        <v>Medium — Also learn QuickSelect</v>
      </c>
      <c r="G270" s="1">
        <v>0</v>
      </c>
      <c r="H270" s="1">
        <f>IFERROR(IF(B270="dsa",CHOOSE(G270+1,"Not started","Attempted","Solved with help","Solved unaided"),IF(OR(B270="bq",B270="res",B270="day"),CHOOSE(G270+1,"Not started","Done"),CHOOSE(G270+1,"Not started","In progress","Done"))),"invalid")</f>
      </c>
      <c r="L270" s="1">
        <f>HYPERLINK("https://leetcode.com/problems/kth-largest-element-in-an-array/","Open source")</f>
      </c>
    </row>
    <row r="271">
      <c r="A271" s="1" t="str">
        <v>dsa-621</v>
      </c>
      <c r="B271" s="1" t="str">
        <v>dsa</v>
      </c>
      <c r="C271" s="1" t="str">
        <v>Heap</v>
      </c>
      <c r="D271" s="1">
        <v>10</v>
      </c>
      <c r="E271" s="1" t="str">
        <v>621 Task Scheduler</v>
      </c>
      <c r="F271" s="1" t="str">
        <v>Medium</v>
      </c>
      <c r="G271" s="1">
        <v>0</v>
      </c>
      <c r="H271" s="1">
        <f>IFERROR(IF(B271="dsa",CHOOSE(G271+1,"Not started","Attempted","Solved with help","Solved unaided"),IF(OR(B271="bq",B271="res",B271="day"),CHOOSE(G271+1,"Not started","Done"),CHOOSE(G271+1,"Not started","In progress","Done"))),"invalid")</f>
      </c>
      <c r="L271" s="1">
        <f>HYPERLINK("https://leetcode.com/problems/task-scheduler/","Open source")</f>
      </c>
    </row>
    <row r="272">
      <c r="A272" s="1" t="str">
        <v>dsa-355</v>
      </c>
      <c r="B272" s="1" t="str">
        <v>dsa</v>
      </c>
      <c r="C272" s="1" t="str">
        <v>Heap</v>
      </c>
      <c r="D272" s="1">
        <v>10</v>
      </c>
      <c r="E272" s="1" t="str">
        <v>355 Design Twitter</v>
      </c>
      <c r="F272" s="1" t="str">
        <v>Medium — Design + heap</v>
      </c>
      <c r="G272" s="1">
        <v>0</v>
      </c>
      <c r="H272" s="1">
        <f>IFERROR(IF(B272="dsa",CHOOSE(G272+1,"Not started","Attempted","Solved with help","Solved unaided"),IF(OR(B272="bq",B272="res",B272="day"),CHOOSE(G272+1,"Not started","Done"),CHOOSE(G272+1,"Not started","In progress","Done"))),"invalid")</f>
      </c>
      <c r="L272" s="1">
        <f>HYPERLINK("https://leetcode.com/problems/design-twitter/","Open source")</f>
      </c>
    </row>
    <row r="273">
      <c r="A273" s="1" t="str">
        <v>dsa-295</v>
      </c>
      <c r="B273" s="1" t="str">
        <v>dsa</v>
      </c>
      <c r="C273" s="1" t="str">
        <v>Heap</v>
      </c>
      <c r="D273" s="1">
        <v>10</v>
      </c>
      <c r="E273" s="1" t="str">
        <v>295 Find Median from Data Stream</v>
      </c>
      <c r="F273" s="1" t="str">
        <v>Hard — Two-heap pattern</v>
      </c>
      <c r="G273" s="1">
        <v>0</v>
      </c>
      <c r="H273" s="1">
        <f>IFERROR(IF(B273="dsa",CHOOSE(G273+1,"Not started","Attempted","Solved with help","Solved unaided"),IF(OR(B273="bq",B273="res",B273="day"),CHOOSE(G273+1,"Not started","Done"),CHOOSE(G273+1,"Not started","In progress","Done"))),"invalid")</f>
      </c>
      <c r="L273" s="1">
        <f>HYPERLINK("https://leetcode.com/problems/find-median-from-data-stream/","Open source")</f>
      </c>
    </row>
    <row r="274">
      <c r="A274" s="1" t="str">
        <v>dsa-78</v>
      </c>
      <c r="B274" s="1" t="str">
        <v>dsa</v>
      </c>
      <c r="C274" s="1" t="str">
        <v>Backtracking</v>
      </c>
      <c r="D274" s="1">
        <v>11</v>
      </c>
      <c r="E274" s="1" t="str">
        <v>78 Subsets</v>
      </c>
      <c r="F274" s="1" t="str">
        <v>Medium</v>
      </c>
      <c r="G274" s="1">
        <v>0</v>
      </c>
      <c r="H274" s="1">
        <f>IFERROR(IF(B274="dsa",CHOOSE(G274+1,"Not started","Attempted","Solved with help","Solved unaided"),IF(OR(B274="bq",B274="res",B274="day"),CHOOSE(G274+1,"Not started","Done"),CHOOSE(G274+1,"Not started","In progress","Done"))),"invalid")</f>
      </c>
      <c r="L274" s="1">
        <f>HYPERLINK("https://leetcode.com/problems/subsets/","Open source")</f>
      </c>
    </row>
    <row r="275">
      <c r="A275" s="1" t="str">
        <v>dsa-39</v>
      </c>
      <c r="B275" s="1" t="str">
        <v>dsa</v>
      </c>
      <c r="C275" s="1" t="str">
        <v>Backtracking</v>
      </c>
      <c r="D275" s="1">
        <v>11</v>
      </c>
      <c r="E275" s="1" t="str">
        <v>39 Combination Sum</v>
      </c>
      <c r="F275" s="1" t="str">
        <v>Medium</v>
      </c>
      <c r="G275" s="1">
        <v>0</v>
      </c>
      <c r="H275" s="1">
        <f>IFERROR(IF(B275="dsa",CHOOSE(G275+1,"Not started","Attempted","Solved with help","Solved unaided"),IF(OR(B275="bq",B275="res",B275="day"),CHOOSE(G275+1,"Not started","Done"),CHOOSE(G275+1,"Not started","In progress","Done"))),"invalid")</f>
      </c>
      <c r="L275" s="1">
        <f>HYPERLINK("https://leetcode.com/problems/combination-sum/","Open source")</f>
      </c>
    </row>
    <row r="276">
      <c r="A276" s="1" t="str">
        <v>dsa-46</v>
      </c>
      <c r="B276" s="1" t="str">
        <v>dsa</v>
      </c>
      <c r="C276" s="1" t="str">
        <v>Backtracking</v>
      </c>
      <c r="D276" s="1">
        <v>11</v>
      </c>
      <c r="E276" s="1" t="str">
        <v>46 Permutations</v>
      </c>
      <c r="F276" s="1" t="str">
        <v>Medium</v>
      </c>
      <c r="G276" s="1">
        <v>0</v>
      </c>
      <c r="H276" s="1">
        <f>IFERROR(IF(B276="dsa",CHOOSE(G276+1,"Not started","Attempted","Solved with help","Solved unaided"),IF(OR(B276="bq",B276="res",B276="day"),CHOOSE(G276+1,"Not started","Done"),CHOOSE(G276+1,"Not started","In progress","Done"))),"invalid")</f>
      </c>
      <c r="L276" s="1">
        <f>HYPERLINK("https://leetcode.com/problems/permutations/","Open source")</f>
      </c>
    </row>
    <row r="277">
      <c r="A277" s="1" t="str">
        <v>dsa-90</v>
      </c>
      <c r="B277" s="1" t="str">
        <v>dsa</v>
      </c>
      <c r="C277" s="1" t="str">
        <v>Backtracking</v>
      </c>
      <c r="D277" s="1">
        <v>11</v>
      </c>
      <c r="E277" s="1" t="str">
        <v>90 Subsets II</v>
      </c>
      <c r="F277" s="1" t="str">
        <v>Medium</v>
      </c>
      <c r="G277" s="1">
        <v>0</v>
      </c>
      <c r="H277" s="1">
        <f>IFERROR(IF(B277="dsa",CHOOSE(G277+1,"Not started","Attempted","Solved with help","Solved unaided"),IF(OR(B277="bq",B277="res",B277="day"),CHOOSE(G277+1,"Not started","Done"),CHOOSE(G277+1,"Not started","In progress","Done"))),"invalid")</f>
      </c>
      <c r="L277" s="1">
        <f>HYPERLINK("https://leetcode.com/problems/subsets-ii/","Open source")</f>
      </c>
    </row>
    <row r="278">
      <c r="A278" s="1" t="str">
        <v>dsa-40</v>
      </c>
      <c r="B278" s="1" t="str">
        <v>dsa</v>
      </c>
      <c r="C278" s="1" t="str">
        <v>Backtracking</v>
      </c>
      <c r="D278" s="1">
        <v>11</v>
      </c>
      <c r="E278" s="1" t="str">
        <v>40 Combination Sum II</v>
      </c>
      <c r="F278" s="1" t="str">
        <v>Medium</v>
      </c>
      <c r="G278" s="1">
        <v>0</v>
      </c>
      <c r="H278" s="1">
        <f>IFERROR(IF(B278="dsa",CHOOSE(G278+1,"Not started","Attempted","Solved with help","Solved unaided"),IF(OR(B278="bq",B278="res",B278="day"),CHOOSE(G278+1,"Not started","Done"),CHOOSE(G278+1,"Not started","In progress","Done"))),"invalid")</f>
      </c>
      <c r="L278" s="1">
        <f>HYPERLINK("https://leetcode.com/problems/combination-sum-ii/","Open source")</f>
      </c>
    </row>
    <row r="279">
      <c r="A279" s="1" t="str">
        <v>dsa-79</v>
      </c>
      <c r="B279" s="1" t="str">
        <v>dsa</v>
      </c>
      <c r="C279" s="1" t="str">
        <v>Backtracking</v>
      </c>
      <c r="D279" s="1">
        <v>11</v>
      </c>
      <c r="E279" s="1" t="str">
        <v>79 Word Search</v>
      </c>
      <c r="F279" s="1" t="str">
        <v>Medium</v>
      </c>
      <c r="G279" s="1">
        <v>0</v>
      </c>
      <c r="H279" s="1">
        <f>IFERROR(IF(B279="dsa",CHOOSE(G279+1,"Not started","Attempted","Solved with help","Solved unaided"),IF(OR(B279="bq",B279="res",B279="day"),CHOOSE(G279+1,"Not started","Done"),CHOOSE(G279+1,"Not started","In progress","Done"))),"invalid")</f>
      </c>
      <c r="L279" s="1">
        <f>HYPERLINK("https://leetcode.com/problems/word-search/","Open source")</f>
      </c>
    </row>
    <row r="280">
      <c r="A280" s="1" t="str">
        <v>dsa-131</v>
      </c>
      <c r="B280" s="1" t="str">
        <v>dsa</v>
      </c>
      <c r="C280" s="1" t="str">
        <v>Backtracking</v>
      </c>
      <c r="D280" s="1">
        <v>11</v>
      </c>
      <c r="E280" s="1" t="str">
        <v>131 Palindrome Partitioning</v>
      </c>
      <c r="F280" s="1" t="str">
        <v>Medium</v>
      </c>
      <c r="G280" s="1">
        <v>0</v>
      </c>
      <c r="H280" s="1">
        <f>IFERROR(IF(B280="dsa",CHOOSE(G280+1,"Not started","Attempted","Solved with help","Solved unaided"),IF(OR(B280="bq",B280="res",B280="day"),CHOOSE(G280+1,"Not started","Done"),CHOOSE(G280+1,"Not started","In progress","Done"))),"invalid")</f>
      </c>
      <c r="L280" s="1">
        <f>HYPERLINK("https://leetcode.com/problems/palindrome-partitioning/","Open source")</f>
      </c>
    </row>
    <row r="281">
      <c r="A281" s="1" t="str">
        <v>dsa-17</v>
      </c>
      <c r="B281" s="1" t="str">
        <v>dsa</v>
      </c>
      <c r="C281" s="1" t="str">
        <v>Backtracking</v>
      </c>
      <c r="D281" s="1">
        <v>11</v>
      </c>
      <c r="E281" s="1" t="str">
        <v>17 Letter Combinations of a Phone Number</v>
      </c>
      <c r="F281" s="1" t="str">
        <v>Medium</v>
      </c>
      <c r="G281" s="1">
        <v>0</v>
      </c>
      <c r="H281" s="1">
        <f>IFERROR(IF(B281="dsa",CHOOSE(G281+1,"Not started","Attempted","Solved with help","Solved unaided"),IF(OR(B281="bq",B281="res",B281="day"),CHOOSE(G281+1,"Not started","Done"),CHOOSE(G281+1,"Not started","In progress","Done"))),"invalid")</f>
      </c>
      <c r="L281" s="1">
        <f>HYPERLINK("https://leetcode.com/problems/letter-combinations-of-a-phone-number/","Open source")</f>
      </c>
    </row>
    <row r="282">
      <c r="A282" s="1" t="str">
        <v>dsa-51</v>
      </c>
      <c r="B282" s="1" t="str">
        <v>dsa</v>
      </c>
      <c r="C282" s="1" t="str">
        <v>Backtracking</v>
      </c>
      <c r="D282" s="1">
        <v>11</v>
      </c>
      <c r="E282" s="1" t="str">
        <v>51 N-Queens</v>
      </c>
      <c r="F282" s="1" t="str">
        <v>Hard</v>
      </c>
      <c r="G282" s="1">
        <v>0</v>
      </c>
      <c r="H282" s="1">
        <f>IFERROR(IF(B282="dsa",CHOOSE(G282+1,"Not started","Attempted","Solved with help","Solved unaided"),IF(OR(B282="bq",B282="res",B282="day"),CHOOSE(G282+1,"Not started","Done"),CHOOSE(G282+1,"Not started","In progress","Done"))),"invalid")</f>
      </c>
      <c r="L282" s="1">
        <f>HYPERLINK("https://leetcode.com/problems/n-queens/","Open source")</f>
      </c>
    </row>
    <row r="283">
      <c r="A283" s="1" t="str">
        <v>dsa-200</v>
      </c>
      <c r="B283" s="1" t="str">
        <v>dsa</v>
      </c>
      <c r="C283" s="1" t="str">
        <v>Graphs</v>
      </c>
      <c r="D283" s="1">
        <v>12</v>
      </c>
      <c r="E283" s="1" t="str">
        <v>200 Number of Islands</v>
      </c>
      <c r="F283" s="1" t="str">
        <v>Medium</v>
      </c>
      <c r="G283" s="1">
        <v>0</v>
      </c>
      <c r="H283" s="1">
        <f>IFERROR(IF(B283="dsa",CHOOSE(G283+1,"Not started","Attempted","Solved with help","Solved unaided"),IF(OR(B283="bq",B283="res",B283="day"),CHOOSE(G283+1,"Not started","Done"),CHOOSE(G283+1,"Not started","In progress","Done"))),"invalid")</f>
      </c>
      <c r="L283" s="1">
        <f>HYPERLINK("https://leetcode.com/problems/number-of-islands/","Open source")</f>
      </c>
    </row>
    <row r="284">
      <c r="A284" s="1" t="str">
        <v>dsa-133</v>
      </c>
      <c r="B284" s="1" t="str">
        <v>dsa</v>
      </c>
      <c r="C284" s="1" t="str">
        <v>Graphs</v>
      </c>
      <c r="D284" s="1">
        <v>12</v>
      </c>
      <c r="E284" s="1" t="str">
        <v>133 Clone Graph</v>
      </c>
      <c r="F284" s="1" t="str">
        <v>Medium</v>
      </c>
      <c r="G284" s="1">
        <v>0</v>
      </c>
      <c r="H284" s="1">
        <f>IFERROR(IF(B284="dsa",CHOOSE(G284+1,"Not started","Attempted","Solved with help","Solved unaided"),IF(OR(B284="bq",B284="res",B284="day"),CHOOSE(G284+1,"Not started","Done"),CHOOSE(G284+1,"Not started","In progress","Done"))),"invalid")</f>
      </c>
      <c r="L284" s="1">
        <f>HYPERLINK("https://leetcode.com/problems/clone-graph/","Open source")</f>
      </c>
    </row>
    <row r="285">
      <c r="A285" s="1" t="str">
        <v>dsa-695</v>
      </c>
      <c r="B285" s="1" t="str">
        <v>dsa</v>
      </c>
      <c r="C285" s="1" t="str">
        <v>Graphs</v>
      </c>
      <c r="D285" s="1">
        <v>12</v>
      </c>
      <c r="E285" s="1" t="str">
        <v>695 Max Area of Island</v>
      </c>
      <c r="F285" s="1" t="str">
        <v>Medium</v>
      </c>
      <c r="G285" s="1">
        <v>0</v>
      </c>
      <c r="H285" s="1">
        <f>IFERROR(IF(B285="dsa",CHOOSE(G285+1,"Not started","Attempted","Solved with help","Solved unaided"),IF(OR(B285="bq",B285="res",B285="day"),CHOOSE(G285+1,"Not started","Done"),CHOOSE(G285+1,"Not started","In progress","Done"))),"invalid")</f>
      </c>
      <c r="L285" s="1">
        <f>HYPERLINK("https://leetcode.com/problems/max-area-of-island/","Open source")</f>
      </c>
    </row>
    <row r="286">
      <c r="A286" s="1" t="str">
        <v>dsa-417</v>
      </c>
      <c r="B286" s="1" t="str">
        <v>dsa</v>
      </c>
      <c r="C286" s="1" t="str">
        <v>Graphs</v>
      </c>
      <c r="D286" s="1">
        <v>12</v>
      </c>
      <c r="E286" s="1" t="str">
        <v>417 Pacific Atlantic Water Flow</v>
      </c>
      <c r="F286" s="1" t="str">
        <v>Medium</v>
      </c>
      <c r="G286" s="1">
        <v>0</v>
      </c>
      <c r="H286" s="1">
        <f>IFERROR(IF(B286="dsa",CHOOSE(G286+1,"Not started","Attempted","Solved with help","Solved unaided"),IF(OR(B286="bq",B286="res",B286="day"),CHOOSE(G286+1,"Not started","Done"),CHOOSE(G286+1,"Not started","In progress","Done"))),"invalid")</f>
      </c>
      <c r="L286" s="1">
        <f>HYPERLINK("https://leetcode.com/problems/pacific-atlantic-water-flow/","Open source")</f>
      </c>
    </row>
    <row r="287">
      <c r="A287" s="1" t="str">
        <v>dsa-130</v>
      </c>
      <c r="B287" s="1" t="str">
        <v>dsa</v>
      </c>
      <c r="C287" s="1" t="str">
        <v>Graphs</v>
      </c>
      <c r="D287" s="1">
        <v>12</v>
      </c>
      <c r="E287" s="1" t="str">
        <v>130 Surrounded Regions</v>
      </c>
      <c r="F287" s="1" t="str">
        <v>Medium</v>
      </c>
      <c r="G287" s="1">
        <v>0</v>
      </c>
      <c r="H287" s="1">
        <f>IFERROR(IF(B287="dsa",CHOOSE(G287+1,"Not started","Attempted","Solved with help","Solved unaided"),IF(OR(B287="bq",B287="res",B287="day"),CHOOSE(G287+1,"Not started","Done"),CHOOSE(G287+1,"Not started","In progress","Done"))),"invalid")</f>
      </c>
      <c r="L287" s="1">
        <f>HYPERLINK("https://leetcode.com/problems/surrounded-regions/","Open source")</f>
      </c>
    </row>
    <row r="288">
      <c r="A288" s="1" t="str">
        <v>dsa-994</v>
      </c>
      <c r="B288" s="1" t="str">
        <v>dsa</v>
      </c>
      <c r="C288" s="1" t="str">
        <v>Graphs</v>
      </c>
      <c r="D288" s="1">
        <v>12</v>
      </c>
      <c r="E288" s="1" t="str">
        <v>994 Rotting Oranges</v>
      </c>
      <c r="F288" s="1" t="str">
        <v>Medium — Multi-source BFS</v>
      </c>
      <c r="G288" s="1">
        <v>0</v>
      </c>
      <c r="H288" s="1">
        <f>IFERROR(IF(B288="dsa",CHOOSE(G288+1,"Not started","Attempted","Solved with help","Solved unaided"),IF(OR(B288="bq",B288="res",B288="day"),CHOOSE(G288+1,"Not started","Done"),CHOOSE(G288+1,"Not started","In progress","Done"))),"invalid")</f>
      </c>
      <c r="L288" s="1">
        <f>HYPERLINK("https://leetcode.com/problems/rotting-oranges/","Open source")</f>
      </c>
    </row>
    <row r="289">
      <c r="A289" s="1" t="str">
        <v>dsa-286</v>
      </c>
      <c r="B289" s="1" t="str">
        <v>dsa</v>
      </c>
      <c r="C289" s="1" t="str">
        <v>Graphs</v>
      </c>
      <c r="D289" s="1">
        <v>12</v>
      </c>
      <c r="E289" s="1" t="str">
        <v>286 Walls and Gates</v>
      </c>
      <c r="F289" s="1" t="str">
        <v>Medium — LC Premium; free on NeetCode</v>
      </c>
      <c r="G289" s="1">
        <v>0</v>
      </c>
      <c r="H289" s="1">
        <f>IFERROR(IF(B289="dsa",CHOOSE(G289+1,"Not started","Attempted","Solved with help","Solved unaided"),IF(OR(B289="bq",B289="res",B289="day"),CHOOSE(G289+1,"Not started","Done"),CHOOSE(G289+1,"Not started","In progress","Done"))),"invalid")</f>
      </c>
      <c r="L289" s="1">
        <f>HYPERLINK("https://leetcode.com/problems/walls-and-gates/","Open source")</f>
      </c>
    </row>
    <row r="290">
      <c r="A290" s="1" t="str">
        <v>dsa-1926</v>
      </c>
      <c r="B290" s="1" t="str">
        <v>dsa</v>
      </c>
      <c r="C290" s="1" t="str">
        <v>Graphs</v>
      </c>
      <c r="D290" s="1">
        <v>12</v>
      </c>
      <c r="E290" s="1" t="str">
        <v>1926 Nearest Exit from Entrance in Maze</v>
      </c>
      <c r="F290" s="1" t="str">
        <v>Medium</v>
      </c>
      <c r="G290" s="1">
        <v>0</v>
      </c>
      <c r="H290" s="1">
        <f>IFERROR(IF(B290="dsa",CHOOSE(G290+1,"Not started","Attempted","Solved with help","Solved unaided"),IF(OR(B290="bq",B290="res",B290="day"),CHOOSE(G290+1,"Not started","Done"),CHOOSE(G290+1,"Not started","In progress","Done"))),"invalid")</f>
      </c>
      <c r="L290" s="1">
        <f>HYPERLINK("https://leetcode.com/problems/nearest-exit-from-entrance-in-maze/","Open source")</f>
      </c>
    </row>
    <row r="291">
      <c r="A291" s="1" t="str">
        <v>dsa-127</v>
      </c>
      <c r="B291" s="1" t="str">
        <v>dsa</v>
      </c>
      <c r="C291" s="1" t="str">
        <v>Graphs</v>
      </c>
      <c r="D291" s="1">
        <v>12</v>
      </c>
      <c r="E291" s="1" t="str">
        <v>127 Word Ladder</v>
      </c>
      <c r="F291" s="1" t="str">
        <v>Hard</v>
      </c>
      <c r="G291" s="1">
        <v>0</v>
      </c>
      <c r="H291" s="1">
        <f>IFERROR(IF(B291="dsa",CHOOSE(G291+1,"Not started","Attempted","Solved with help","Solved unaided"),IF(OR(B291="bq",B291="res",B291="day"),CHOOSE(G291+1,"Not started","Done"),CHOOSE(G291+1,"Not started","In progress","Done"))),"invalid")</f>
      </c>
      <c r="L291" s="1">
        <f>HYPERLINK("https://leetcode.com/problems/word-ladder/","Open source")</f>
      </c>
    </row>
    <row r="292">
      <c r="A292" s="1" t="str">
        <v>dsa-752</v>
      </c>
      <c r="B292" s="1" t="str">
        <v>dsa</v>
      </c>
      <c r="C292" s="1" t="str">
        <v>Graphs</v>
      </c>
      <c r="D292" s="1">
        <v>12</v>
      </c>
      <c r="E292" s="1" t="str">
        <v>752 Open the Lock</v>
      </c>
      <c r="F292" s="1" t="str">
        <v>Medium</v>
      </c>
      <c r="G292" s="1">
        <v>0</v>
      </c>
      <c r="H292" s="1">
        <f>IFERROR(IF(B292="dsa",CHOOSE(G292+1,"Not started","Attempted","Solved with help","Solved unaided"),IF(OR(B292="bq",B292="res",B292="day"),CHOOSE(G292+1,"Not started","Done"),CHOOSE(G292+1,"Not started","In progress","Done"))),"invalid")</f>
      </c>
      <c r="L292" s="1">
        <f>HYPERLINK("https://leetcode.com/problems/open-the-lock/","Open source")</f>
      </c>
    </row>
    <row r="293">
      <c r="A293" s="1" t="str">
        <v>dsa-542</v>
      </c>
      <c r="B293" s="1" t="str">
        <v>dsa</v>
      </c>
      <c r="C293" s="1" t="str">
        <v>Graphs</v>
      </c>
      <c r="D293" s="1">
        <v>12</v>
      </c>
      <c r="E293" s="1" t="str">
        <v>542 01 Matrix</v>
      </c>
      <c r="F293" s="1" t="str">
        <v>Medium</v>
      </c>
      <c r="G293" s="1">
        <v>0</v>
      </c>
      <c r="H293" s="1">
        <f>IFERROR(IF(B293="dsa",CHOOSE(G293+1,"Not started","Attempted","Solved with help","Solved unaided"),IF(OR(B293="bq",B293="res",B293="day"),CHOOSE(G293+1,"Not started","Done"),CHOOSE(G293+1,"Not started","In progress","Done"))),"invalid")</f>
      </c>
      <c r="L293" s="1">
        <f>HYPERLINK("https://leetcode.com/problems/01-matrix/","Open source")</f>
      </c>
    </row>
    <row r="294">
      <c r="A294" s="1" t="str">
        <v>dsa-1091</v>
      </c>
      <c r="B294" s="1" t="str">
        <v>dsa</v>
      </c>
      <c r="C294" s="1" t="str">
        <v>Graphs</v>
      </c>
      <c r="D294" s="1">
        <v>12</v>
      </c>
      <c r="E294" s="1" t="str">
        <v>1091 Shortest Path in Binary Matrix</v>
      </c>
      <c r="F294" s="1" t="str">
        <v>Medium</v>
      </c>
      <c r="G294" s="1">
        <v>0</v>
      </c>
      <c r="H294" s="1">
        <f>IFERROR(IF(B294="dsa",CHOOSE(G294+1,"Not started","Attempted","Solved with help","Solved unaided"),IF(OR(B294="bq",B294="res",B294="day"),CHOOSE(G294+1,"Not started","Done"),CHOOSE(G294+1,"Not started","In progress","Done"))),"invalid")</f>
      </c>
      <c r="L294" s="1">
        <f>HYPERLINK("https://leetcode.com/problems/shortest-path-in-binary-matrix/","Open source")</f>
      </c>
    </row>
    <row r="295">
      <c r="A295" s="1" t="str">
        <v>dsa-490</v>
      </c>
      <c r="B295" s="1" t="str">
        <v>dsa</v>
      </c>
      <c r="C295" s="1" t="str">
        <v>Graphs</v>
      </c>
      <c r="D295" s="1">
        <v>12</v>
      </c>
      <c r="E295" s="1" t="str">
        <v>490 The Maze</v>
      </c>
      <c r="F295" s="1" t="str">
        <v>Medium — LC Premium</v>
      </c>
      <c r="G295" s="1">
        <v>0</v>
      </c>
      <c r="H295" s="1">
        <f>IFERROR(IF(B295="dsa",CHOOSE(G295+1,"Not started","Attempted","Solved with help","Solved unaided"),IF(OR(B295="bq",B295="res",B295="day"),CHOOSE(G295+1,"Not started","Done"),CHOOSE(G295+1,"Not started","In progress","Done"))),"invalid")</f>
      </c>
      <c r="L295" s="1">
        <f>HYPERLINK("https://leetcode.com/problems/the-maze/","Open source")</f>
      </c>
    </row>
    <row r="296">
      <c r="A296" s="1" t="str">
        <v>dsa-207</v>
      </c>
      <c r="B296" s="1" t="str">
        <v>dsa</v>
      </c>
      <c r="C296" s="1" t="str">
        <v>Topological Sort</v>
      </c>
      <c r="D296" s="1">
        <v>13</v>
      </c>
      <c r="E296" s="1" t="str">
        <v>207 Course Schedule</v>
      </c>
      <c r="F296" s="1" t="str">
        <v>Medium</v>
      </c>
      <c r="G296" s="1">
        <v>0</v>
      </c>
      <c r="H296" s="1">
        <f>IFERROR(IF(B296="dsa",CHOOSE(G296+1,"Not started","Attempted","Solved with help","Solved unaided"),IF(OR(B296="bq",B296="res",B296="day"),CHOOSE(G296+1,"Not started","Done"),CHOOSE(G296+1,"Not started","In progress","Done"))),"invalid")</f>
      </c>
      <c r="L296" s="1">
        <f>HYPERLINK("https://leetcode.com/problems/course-schedule/","Open source")</f>
      </c>
    </row>
    <row r="297">
      <c r="A297" s="1" t="str">
        <v>dsa-210</v>
      </c>
      <c r="B297" s="1" t="str">
        <v>dsa</v>
      </c>
      <c r="C297" s="1" t="str">
        <v>Topological Sort</v>
      </c>
      <c r="D297" s="1">
        <v>13</v>
      </c>
      <c r="E297" s="1" t="str">
        <v>210 Course Schedule II</v>
      </c>
      <c r="F297" s="1" t="str">
        <v>Medium</v>
      </c>
      <c r="G297" s="1">
        <v>0</v>
      </c>
      <c r="H297" s="1">
        <f>IFERROR(IF(B297="dsa",CHOOSE(G297+1,"Not started","Attempted","Solved with help","Solved unaided"),IF(OR(B297="bq",B297="res",B297="day"),CHOOSE(G297+1,"Not started","Done"),CHOOSE(G297+1,"Not started","In progress","Done"))),"invalid")</f>
      </c>
      <c r="L297" s="1">
        <f>HYPERLINK("https://leetcode.com/problems/course-schedule-ii/","Open source")</f>
      </c>
    </row>
    <row r="298">
      <c r="A298" s="1" t="str">
        <v>dsa-269</v>
      </c>
      <c r="B298" s="1" t="str">
        <v>dsa</v>
      </c>
      <c r="C298" s="1" t="str">
        <v>Topological Sort</v>
      </c>
      <c r="D298" s="1">
        <v>13</v>
      </c>
      <c r="E298" s="1" t="str">
        <v>269 Alien Dictionary</v>
      </c>
      <c r="F298" s="1" t="str">
        <v>Hard — LC Premium; Google favourite</v>
      </c>
      <c r="G298" s="1">
        <v>0</v>
      </c>
      <c r="H298" s="1">
        <f>IFERROR(IF(B298="dsa",CHOOSE(G298+1,"Not started","Attempted","Solved with help","Solved unaided"),IF(OR(B298="bq",B298="res",B298="day"),CHOOSE(G298+1,"Not started","Done"),CHOOSE(G298+1,"Not started","In progress","Done"))),"invalid")</f>
      </c>
      <c r="L298" s="1">
        <f>HYPERLINK("https://leetcode.com/problems/alien-dictionary/","Open source")</f>
      </c>
    </row>
    <row r="299">
      <c r="A299" s="1" t="str">
        <v>dsa-684</v>
      </c>
      <c r="B299" s="1" t="str">
        <v>dsa</v>
      </c>
      <c r="C299" s="1" t="str">
        <v>Union-Find</v>
      </c>
      <c r="D299" s="1">
        <v>13</v>
      </c>
      <c r="E299" s="1" t="str">
        <v>684 Redundant Connection</v>
      </c>
      <c r="F299" s="1" t="str">
        <v>Medium</v>
      </c>
      <c r="G299" s="1">
        <v>0</v>
      </c>
      <c r="H299" s="1">
        <f>IFERROR(IF(B299="dsa",CHOOSE(G299+1,"Not started","Attempted","Solved with help","Solved unaided"),IF(OR(B299="bq",B299="res",B299="day"),CHOOSE(G299+1,"Not started","Done"),CHOOSE(G299+1,"Not started","In progress","Done"))),"invalid")</f>
      </c>
      <c r="L299" s="1">
        <f>HYPERLINK("https://leetcode.com/problems/redundant-connection/","Open source")</f>
      </c>
    </row>
    <row r="300">
      <c r="A300" s="1" t="str">
        <v>dsa-323</v>
      </c>
      <c r="B300" s="1" t="str">
        <v>dsa</v>
      </c>
      <c r="C300" s="1" t="str">
        <v>Union-Find</v>
      </c>
      <c r="D300" s="1">
        <v>13</v>
      </c>
      <c r="E300" s="1" t="str">
        <v>323 Number of Connected Components</v>
      </c>
      <c r="F300" s="1" t="str">
        <v>Medium — LC Premium</v>
      </c>
      <c r="G300" s="1">
        <v>0</v>
      </c>
      <c r="H300" s="1">
        <f>IFERROR(IF(B300="dsa",CHOOSE(G300+1,"Not started","Attempted","Solved with help","Solved unaided"),IF(OR(B300="bq",B300="res",B300="day"),CHOOSE(G300+1,"Not started","Done"),CHOOSE(G300+1,"Not started","In progress","Done"))),"invalid")</f>
      </c>
      <c r="L300" s="1">
        <f>HYPERLINK("https://leetcode.com/problems/number-of-connected-components-in-an-undirected-graph/","Open source")</f>
      </c>
    </row>
    <row r="301">
      <c r="A301" s="1" t="str">
        <v>dsa-261</v>
      </c>
      <c r="B301" s="1" t="str">
        <v>dsa</v>
      </c>
      <c r="C301" s="1" t="str">
        <v>Union-Find</v>
      </c>
      <c r="D301" s="1">
        <v>13</v>
      </c>
      <c r="E301" s="1" t="str">
        <v>261 Graph Valid Tree</v>
      </c>
      <c r="F301" s="1" t="str">
        <v>Medium — LC Premium</v>
      </c>
      <c r="G301" s="1">
        <v>0</v>
      </c>
      <c r="H301" s="1">
        <f>IFERROR(IF(B301="dsa",CHOOSE(G301+1,"Not started","Attempted","Solved with help","Solved unaided"),IF(OR(B301="bq",B301="res",B301="day"),CHOOSE(G301+1,"Not started","Done"),CHOOSE(G301+1,"Not started","In progress","Done"))),"invalid")</f>
      </c>
      <c r="L301" s="1">
        <f>HYPERLINK("https://leetcode.com/problems/graph-valid-tree/","Open source")</f>
      </c>
    </row>
    <row r="302">
      <c r="A302" s="1" t="str">
        <v>dsa-743</v>
      </c>
      <c r="B302" s="1" t="str">
        <v>dsa</v>
      </c>
      <c r="C302" s="1" t="str">
        <v>Advanced Graphs</v>
      </c>
      <c r="D302" s="1">
        <v>13</v>
      </c>
      <c r="E302" s="1" t="str">
        <v>743 Network Delay Time</v>
      </c>
      <c r="F302" s="1" t="str">
        <v>Medium — Dijkstra</v>
      </c>
      <c r="G302" s="1">
        <v>0</v>
      </c>
      <c r="H302" s="1">
        <f>IFERROR(IF(B302="dsa",CHOOSE(G302+1,"Not started","Attempted","Solved with help","Solved unaided"),IF(OR(B302="bq",B302="res",B302="day"),CHOOSE(G302+1,"Not started","Done"),CHOOSE(G302+1,"Not started","In progress","Done"))),"invalid")</f>
      </c>
      <c r="L302" s="1">
        <f>HYPERLINK("https://leetcode.com/problems/network-delay-time/","Open source")</f>
      </c>
    </row>
    <row r="303">
      <c r="A303" s="1" t="str">
        <v>dsa-787</v>
      </c>
      <c r="B303" s="1" t="str">
        <v>dsa</v>
      </c>
      <c r="C303" s="1" t="str">
        <v>Advanced Graphs</v>
      </c>
      <c r="D303" s="1">
        <v>13</v>
      </c>
      <c r="E303" s="1" t="str">
        <v>787 Cheapest Flights Within K Stops</v>
      </c>
      <c r="F303" s="1" t="str">
        <v>Medium — Bellman-Ford</v>
      </c>
      <c r="G303" s="1">
        <v>0</v>
      </c>
      <c r="H303" s="1">
        <f>IFERROR(IF(B303="dsa",CHOOSE(G303+1,"Not started","Attempted","Solved with help","Solved unaided"),IF(OR(B303="bq",B303="res",B303="day"),CHOOSE(G303+1,"Not started","Done"),CHOOSE(G303+1,"Not started","In progress","Done"))),"invalid")</f>
      </c>
      <c r="L303" s="1">
        <f>HYPERLINK("https://leetcode.com/problems/cheapest-flights-within-k-stops/","Open source")</f>
      </c>
    </row>
    <row r="304">
      <c r="A304" s="1" t="str">
        <v>dsa-1584</v>
      </c>
      <c r="B304" s="1" t="str">
        <v>dsa</v>
      </c>
      <c r="C304" s="1" t="str">
        <v>Advanced Graphs</v>
      </c>
      <c r="D304" s="1">
        <v>13</v>
      </c>
      <c r="E304" s="1" t="str">
        <v>1584 Min Cost to Connect All Points</v>
      </c>
      <c r="F304" s="1" t="str">
        <v>Medium — MST / Prim</v>
      </c>
      <c r="G304" s="1">
        <v>0</v>
      </c>
      <c r="H304" s="1">
        <f>IFERROR(IF(B304="dsa",CHOOSE(G304+1,"Not started","Attempted","Solved with help","Solved unaided"),IF(OR(B304="bq",B304="res",B304="day"),CHOOSE(G304+1,"Not started","Done"),CHOOSE(G304+1,"Not started","In progress","Done"))),"invalid")</f>
      </c>
      <c r="L304" s="1">
        <f>HYPERLINK("https://leetcode.com/problems/min-cost-to-connect-all-points/","Open source")</f>
      </c>
    </row>
    <row r="305">
      <c r="A305" s="1" t="str">
        <v>dsa-778</v>
      </c>
      <c r="B305" s="1" t="str">
        <v>dsa</v>
      </c>
      <c r="C305" s="1" t="str">
        <v>Advanced Graphs</v>
      </c>
      <c r="D305" s="1">
        <v>13</v>
      </c>
      <c r="E305" s="1" t="str">
        <v>778 Swim in Rising Water</v>
      </c>
      <c r="F305" s="1" t="str">
        <v>Hard</v>
      </c>
      <c r="G305" s="1">
        <v>0</v>
      </c>
      <c r="H305" s="1">
        <f>IFERROR(IF(B305="dsa",CHOOSE(G305+1,"Not started","Attempted","Solved with help","Solved unaided"),IF(OR(B305="bq",B305="res",B305="day"),CHOOSE(G305+1,"Not started","Done"),CHOOSE(G305+1,"Not started","In progress","Done"))),"invalid")</f>
      </c>
      <c r="L305" s="1">
        <f>HYPERLINK("https://leetcode.com/problems/swim-in-rising-water/","Open source")</f>
      </c>
    </row>
    <row r="306">
      <c r="A306" s="1" t="str">
        <v>dsa-70</v>
      </c>
      <c r="B306" s="1" t="str">
        <v>dsa</v>
      </c>
      <c r="C306" s="1" t="str">
        <v>1-D DP</v>
      </c>
      <c r="D306" s="1">
        <v>14</v>
      </c>
      <c r="E306" s="1" t="str">
        <v>70 Climbing Stairs</v>
      </c>
      <c r="F306" s="1" t="str">
        <v>Easy</v>
      </c>
      <c r="G306" s="1">
        <v>0</v>
      </c>
      <c r="H306" s="1">
        <f>IFERROR(IF(B306="dsa",CHOOSE(G306+1,"Not started","Attempted","Solved with help","Solved unaided"),IF(OR(B306="bq",B306="res",B306="day"),CHOOSE(G306+1,"Not started","Done"),CHOOSE(G306+1,"Not started","In progress","Done"))),"invalid")</f>
      </c>
      <c r="L306" s="1">
        <f>HYPERLINK("https://leetcode.com/problems/climbing-stairs/","Open source")</f>
      </c>
    </row>
    <row r="307">
      <c r="A307" s="1" t="str">
        <v>dsa-746</v>
      </c>
      <c r="B307" s="1" t="str">
        <v>dsa</v>
      </c>
      <c r="C307" s="1" t="str">
        <v>1-D DP</v>
      </c>
      <c r="D307" s="1">
        <v>14</v>
      </c>
      <c r="E307" s="1" t="str">
        <v>746 Min Cost Climbing Stairs</v>
      </c>
      <c r="F307" s="1" t="str">
        <v>Easy</v>
      </c>
      <c r="G307" s="1">
        <v>0</v>
      </c>
      <c r="H307" s="1">
        <f>IFERROR(IF(B307="dsa",CHOOSE(G307+1,"Not started","Attempted","Solved with help","Solved unaided"),IF(OR(B307="bq",B307="res",B307="day"),CHOOSE(G307+1,"Not started","Done"),CHOOSE(G307+1,"Not started","In progress","Done"))),"invalid")</f>
      </c>
      <c r="L307" s="1">
        <f>HYPERLINK("https://leetcode.com/problems/min-cost-climbing-stairs/","Open source")</f>
      </c>
    </row>
    <row r="308">
      <c r="A308" s="1" t="str">
        <v>dsa-198</v>
      </c>
      <c r="B308" s="1" t="str">
        <v>dsa</v>
      </c>
      <c r="C308" s="1" t="str">
        <v>1-D DP</v>
      </c>
      <c r="D308" s="1">
        <v>14</v>
      </c>
      <c r="E308" s="1" t="str">
        <v>198 House Robber</v>
      </c>
      <c r="F308" s="1" t="str">
        <v>Medium</v>
      </c>
      <c r="G308" s="1">
        <v>0</v>
      </c>
      <c r="H308" s="1">
        <f>IFERROR(IF(B308="dsa",CHOOSE(G308+1,"Not started","Attempted","Solved with help","Solved unaided"),IF(OR(B308="bq",B308="res",B308="day"),CHOOSE(G308+1,"Not started","Done"),CHOOSE(G308+1,"Not started","In progress","Done"))),"invalid")</f>
      </c>
      <c r="L308" s="1">
        <f>HYPERLINK("https://leetcode.com/problems/house-robber/","Open source")</f>
      </c>
    </row>
    <row r="309">
      <c r="A309" s="1" t="str">
        <v>dsa-213</v>
      </c>
      <c r="B309" s="1" t="str">
        <v>dsa</v>
      </c>
      <c r="C309" s="1" t="str">
        <v>1-D DP</v>
      </c>
      <c r="D309" s="1">
        <v>14</v>
      </c>
      <c r="E309" s="1" t="str">
        <v>213 House Robber II</v>
      </c>
      <c r="F309" s="1" t="str">
        <v>Medium</v>
      </c>
      <c r="G309" s="1">
        <v>0</v>
      </c>
      <c r="H309" s="1">
        <f>IFERROR(IF(B309="dsa",CHOOSE(G309+1,"Not started","Attempted","Solved with help","Solved unaided"),IF(OR(B309="bq",B309="res",B309="day"),CHOOSE(G309+1,"Not started","Done"),CHOOSE(G309+1,"Not started","In progress","Done"))),"invalid")</f>
      </c>
      <c r="L309" s="1">
        <f>HYPERLINK("https://leetcode.com/problems/house-robber-ii/","Open source")</f>
      </c>
    </row>
    <row r="310">
      <c r="A310" s="1" t="str">
        <v>dsa-5</v>
      </c>
      <c r="B310" s="1" t="str">
        <v>dsa</v>
      </c>
      <c r="C310" s="1" t="str">
        <v>1-D DP</v>
      </c>
      <c r="D310" s="1">
        <v>14</v>
      </c>
      <c r="E310" s="1" t="str">
        <v>5 Longest Palindromic Substring</v>
      </c>
      <c r="F310" s="1" t="str">
        <v>Medium</v>
      </c>
      <c r="G310" s="1">
        <v>0</v>
      </c>
      <c r="H310" s="1">
        <f>IFERROR(IF(B310="dsa",CHOOSE(G310+1,"Not started","Attempted","Solved with help","Solved unaided"),IF(OR(B310="bq",B310="res",B310="day"),CHOOSE(G310+1,"Not started","Done"),CHOOSE(G310+1,"Not started","In progress","Done"))),"invalid")</f>
      </c>
      <c r="L310" s="1">
        <f>HYPERLINK("https://leetcode.com/problems/longest-palindromic-substring/","Open source")</f>
      </c>
    </row>
    <row r="311">
      <c r="A311" s="1" t="str">
        <v>dsa-647</v>
      </c>
      <c r="B311" s="1" t="str">
        <v>dsa</v>
      </c>
      <c r="C311" s="1" t="str">
        <v>1-D DP</v>
      </c>
      <c r="D311" s="1">
        <v>14</v>
      </c>
      <c r="E311" s="1" t="str">
        <v>647 Palindromic Substrings</v>
      </c>
      <c r="F311" s="1" t="str">
        <v>Medium</v>
      </c>
      <c r="G311" s="1">
        <v>0</v>
      </c>
      <c r="H311" s="1">
        <f>IFERROR(IF(B311="dsa",CHOOSE(G311+1,"Not started","Attempted","Solved with help","Solved unaided"),IF(OR(B311="bq",B311="res",B311="day"),CHOOSE(G311+1,"Not started","Done"),CHOOSE(G311+1,"Not started","In progress","Done"))),"invalid")</f>
      </c>
      <c r="L311" s="1">
        <f>HYPERLINK("https://leetcode.com/problems/palindromic-substrings/","Open source")</f>
      </c>
    </row>
    <row r="312">
      <c r="A312" s="1" t="str">
        <v>dsa-91</v>
      </c>
      <c r="B312" s="1" t="str">
        <v>dsa</v>
      </c>
      <c r="C312" s="1" t="str">
        <v>1-D DP</v>
      </c>
      <c r="D312" s="1">
        <v>14</v>
      </c>
      <c r="E312" s="1" t="str">
        <v>91 Decode Ways</v>
      </c>
      <c r="F312" s="1" t="str">
        <v>Medium</v>
      </c>
      <c r="G312" s="1">
        <v>0</v>
      </c>
      <c r="H312" s="1">
        <f>IFERROR(IF(B312="dsa",CHOOSE(G312+1,"Not started","Attempted","Solved with help","Solved unaided"),IF(OR(B312="bq",B312="res",B312="day"),CHOOSE(G312+1,"Not started","Done"),CHOOSE(G312+1,"Not started","In progress","Done"))),"invalid")</f>
      </c>
      <c r="L312" s="1">
        <f>HYPERLINK("https://leetcode.com/problems/decode-ways/","Open source")</f>
      </c>
    </row>
    <row r="313">
      <c r="A313" s="1" t="str">
        <v>dsa-322</v>
      </c>
      <c r="B313" s="1" t="str">
        <v>dsa</v>
      </c>
      <c r="C313" s="1" t="str">
        <v>1-D DP</v>
      </c>
      <c r="D313" s="1">
        <v>14</v>
      </c>
      <c r="E313" s="1" t="str">
        <v>322 Coin Change</v>
      </c>
      <c r="F313" s="1" t="str">
        <v>Medium</v>
      </c>
      <c r="G313" s="1">
        <v>0</v>
      </c>
      <c r="H313" s="1">
        <f>IFERROR(IF(B313="dsa",CHOOSE(G313+1,"Not started","Attempted","Solved with help","Solved unaided"),IF(OR(B313="bq",B313="res",B313="day"),CHOOSE(G313+1,"Not started","Done"),CHOOSE(G313+1,"Not started","In progress","Done"))),"invalid")</f>
      </c>
      <c r="L313" s="1">
        <f>HYPERLINK("https://leetcode.com/problems/coin-change/","Open source")</f>
      </c>
    </row>
    <row r="314">
      <c r="A314" s="1" t="str">
        <v>dsa-152</v>
      </c>
      <c r="B314" s="1" t="str">
        <v>dsa</v>
      </c>
      <c r="C314" s="1" t="str">
        <v>1-D DP</v>
      </c>
      <c r="D314" s="1">
        <v>14</v>
      </c>
      <c r="E314" s="1" t="str">
        <v>152 Maximum Product Subarray</v>
      </c>
      <c r="F314" s="1" t="str">
        <v>Medium</v>
      </c>
      <c r="G314" s="1">
        <v>0</v>
      </c>
      <c r="H314" s="1">
        <f>IFERROR(IF(B314="dsa",CHOOSE(G314+1,"Not started","Attempted","Solved with help","Solved unaided"),IF(OR(B314="bq",B314="res",B314="day"),CHOOSE(G314+1,"Not started","Done"),CHOOSE(G314+1,"Not started","In progress","Done"))),"invalid")</f>
      </c>
      <c r="L314" s="1">
        <f>HYPERLINK("https://leetcode.com/problems/maximum-product-subarray/","Open source")</f>
      </c>
    </row>
    <row r="315">
      <c r="A315" s="1" t="str">
        <v>dsa-139</v>
      </c>
      <c r="B315" s="1" t="str">
        <v>dsa</v>
      </c>
      <c r="C315" s="1" t="str">
        <v>1-D DP</v>
      </c>
      <c r="D315" s="1">
        <v>14</v>
      </c>
      <c r="E315" s="1" t="str">
        <v>139 Word Break</v>
      </c>
      <c r="F315" s="1" t="str">
        <v>Medium</v>
      </c>
      <c r="G315" s="1">
        <v>0</v>
      </c>
      <c r="H315" s="1">
        <f>IFERROR(IF(B315="dsa",CHOOSE(G315+1,"Not started","Attempted","Solved with help","Solved unaided"),IF(OR(B315="bq",B315="res",B315="day"),CHOOSE(G315+1,"Not started","Done"),CHOOSE(G315+1,"Not started","In progress","Done"))),"invalid")</f>
      </c>
      <c r="L315" s="1">
        <f>HYPERLINK("https://leetcode.com/problems/word-break/","Open source")</f>
      </c>
    </row>
    <row r="316">
      <c r="A316" s="1" t="str">
        <v>dsa-300</v>
      </c>
      <c r="B316" s="1" t="str">
        <v>dsa</v>
      </c>
      <c r="C316" s="1" t="str">
        <v>1-D DP</v>
      </c>
      <c r="D316" s="1">
        <v>14</v>
      </c>
      <c r="E316" s="1" t="str">
        <v>300 Longest Increasing Subsequence</v>
      </c>
      <c r="F316" s="1" t="str">
        <v>Medium</v>
      </c>
      <c r="G316" s="1">
        <v>0</v>
      </c>
      <c r="H316" s="1">
        <f>IFERROR(IF(B316="dsa",CHOOSE(G316+1,"Not started","Attempted","Solved with help","Solved unaided"),IF(OR(B316="bq",B316="res",B316="day"),CHOOSE(G316+1,"Not started","Done"),CHOOSE(G316+1,"Not started","In progress","Done"))),"invalid")</f>
      </c>
      <c r="L316" s="1">
        <f>HYPERLINK("https://leetcode.com/problems/longest-increasing-subsequence/","Open source")</f>
      </c>
    </row>
    <row r="317">
      <c r="A317" s="1" t="str">
        <v>dsa-416</v>
      </c>
      <c r="B317" s="1" t="str">
        <v>dsa</v>
      </c>
      <c r="C317" s="1" t="str">
        <v>1-D DP</v>
      </c>
      <c r="D317" s="1">
        <v>14</v>
      </c>
      <c r="E317" s="1" t="str">
        <v>416 Partition Equal Subset Sum</v>
      </c>
      <c r="F317" s="1" t="str">
        <v>Medium</v>
      </c>
      <c r="G317" s="1">
        <v>0</v>
      </c>
      <c r="H317" s="1">
        <f>IFERROR(IF(B317="dsa",CHOOSE(G317+1,"Not started","Attempted","Solved with help","Solved unaided"),IF(OR(B317="bq",B317="res",B317="day"),CHOOSE(G317+1,"Not started","Done"),CHOOSE(G317+1,"Not started","In progress","Done"))),"invalid")</f>
      </c>
      <c r="L317" s="1">
        <f>HYPERLINK("https://leetcode.com/problems/partition-equal-subset-sum/","Open source")</f>
      </c>
    </row>
    <row r="318">
      <c r="A318" s="1" t="str">
        <v>dsa-62</v>
      </c>
      <c r="B318" s="1" t="str">
        <v>dsa</v>
      </c>
      <c r="C318" s="1" t="str">
        <v>2-D DP</v>
      </c>
      <c r="D318" s="1">
        <v>15</v>
      </c>
      <c r="E318" s="1" t="str">
        <v>62 Unique Paths</v>
      </c>
      <c r="F318" s="1" t="str">
        <v>Medium</v>
      </c>
      <c r="G318" s="1">
        <v>0</v>
      </c>
      <c r="H318" s="1">
        <f>IFERROR(IF(B318="dsa",CHOOSE(G318+1,"Not started","Attempted","Solved with help","Solved unaided"),IF(OR(B318="bq",B318="res",B318="day"),CHOOSE(G318+1,"Not started","Done"),CHOOSE(G318+1,"Not started","In progress","Done"))),"invalid")</f>
      </c>
      <c r="L318" s="1">
        <f>HYPERLINK("https://leetcode.com/problems/unique-paths/","Open source")</f>
      </c>
    </row>
    <row r="319">
      <c r="A319" s="1" t="str">
        <v>dsa-1143</v>
      </c>
      <c r="B319" s="1" t="str">
        <v>dsa</v>
      </c>
      <c r="C319" s="1" t="str">
        <v>2-D DP</v>
      </c>
      <c r="D319" s="1">
        <v>15</v>
      </c>
      <c r="E319" s="1" t="str">
        <v>1143 Longest Common Subsequence</v>
      </c>
      <c r="F319" s="1" t="str">
        <v>Medium</v>
      </c>
      <c r="G319" s="1">
        <v>0</v>
      </c>
      <c r="H319" s="1">
        <f>IFERROR(IF(B319="dsa",CHOOSE(G319+1,"Not started","Attempted","Solved with help","Solved unaided"),IF(OR(B319="bq",B319="res",B319="day"),CHOOSE(G319+1,"Not started","Done"),CHOOSE(G319+1,"Not started","In progress","Done"))),"invalid")</f>
      </c>
      <c r="L319" s="1">
        <f>HYPERLINK("https://leetcode.com/problems/longest-common-subsequence/","Open source")</f>
      </c>
    </row>
    <row r="320">
      <c r="A320" s="1" t="str">
        <v>dsa-309</v>
      </c>
      <c r="B320" s="1" t="str">
        <v>dsa</v>
      </c>
      <c r="C320" s="1" t="str">
        <v>2-D DP</v>
      </c>
      <c r="D320" s="1">
        <v>15</v>
      </c>
      <c r="E320" s="1" t="str">
        <v>309 Best Time to Buy and Sell Stock with Cooldown</v>
      </c>
      <c r="F320" s="1" t="str">
        <v>Medium</v>
      </c>
      <c r="G320" s="1">
        <v>0</v>
      </c>
      <c r="H320" s="1">
        <f>IFERROR(IF(B320="dsa",CHOOSE(G320+1,"Not started","Attempted","Solved with help","Solved unaided"),IF(OR(B320="bq",B320="res",B320="day"),CHOOSE(G320+1,"Not started","Done"),CHOOSE(G320+1,"Not started","In progress","Done"))),"invalid")</f>
      </c>
      <c r="L320" s="1">
        <f>HYPERLINK("https://leetcode.com/problems/best-time-to-buy-and-sell-stock-with-cooldown/","Open source")</f>
      </c>
    </row>
    <row r="321">
      <c r="A321" s="1" t="str">
        <v>dsa-518</v>
      </c>
      <c r="B321" s="1" t="str">
        <v>dsa</v>
      </c>
      <c r="C321" s="1" t="str">
        <v>2-D DP</v>
      </c>
      <c r="D321" s="1">
        <v>15</v>
      </c>
      <c r="E321" s="1" t="str">
        <v>518 Coin Change II</v>
      </c>
      <c r="F321" s="1" t="str">
        <v>Medium</v>
      </c>
      <c r="G321" s="1">
        <v>0</v>
      </c>
      <c r="H321" s="1">
        <f>IFERROR(IF(B321="dsa",CHOOSE(G321+1,"Not started","Attempted","Solved with help","Solved unaided"),IF(OR(B321="bq",B321="res",B321="day"),CHOOSE(G321+1,"Not started","Done"),CHOOSE(G321+1,"Not started","In progress","Done"))),"invalid")</f>
      </c>
      <c r="L321" s="1">
        <f>HYPERLINK("https://leetcode.com/problems/coin-change-ii/","Open source")</f>
      </c>
    </row>
    <row r="322">
      <c r="A322" s="1" t="str">
        <v>dsa-494</v>
      </c>
      <c r="B322" s="1" t="str">
        <v>dsa</v>
      </c>
      <c r="C322" s="1" t="str">
        <v>2-D DP</v>
      </c>
      <c r="D322" s="1">
        <v>15</v>
      </c>
      <c r="E322" s="1" t="str">
        <v>494 Target Sum</v>
      </c>
      <c r="F322" s="1" t="str">
        <v>Medium</v>
      </c>
      <c r="G322" s="1">
        <v>0</v>
      </c>
      <c r="H322" s="1">
        <f>IFERROR(IF(B322="dsa",CHOOSE(G322+1,"Not started","Attempted","Solved with help","Solved unaided"),IF(OR(B322="bq",B322="res",B322="day"),CHOOSE(G322+1,"Not started","Done"),CHOOSE(G322+1,"Not started","In progress","Done"))),"invalid")</f>
      </c>
      <c r="L322" s="1">
        <f>HYPERLINK("https://leetcode.com/problems/target-sum/","Open source")</f>
      </c>
    </row>
    <row r="323">
      <c r="A323" s="1" t="str">
        <v>dsa-97</v>
      </c>
      <c r="B323" s="1" t="str">
        <v>dsa</v>
      </c>
      <c r="C323" s="1" t="str">
        <v>2-D DP</v>
      </c>
      <c r="D323" s="1">
        <v>15</v>
      </c>
      <c r="E323" s="1" t="str">
        <v>97 Interleaving String</v>
      </c>
      <c r="F323" s="1" t="str">
        <v>Medium</v>
      </c>
      <c r="G323" s="1">
        <v>0</v>
      </c>
      <c r="H323" s="1">
        <f>IFERROR(IF(B323="dsa",CHOOSE(G323+1,"Not started","Attempted","Solved with help","Solved unaided"),IF(OR(B323="bq",B323="res",B323="day"),CHOOSE(G323+1,"Not started","Done"),CHOOSE(G323+1,"Not started","In progress","Done"))),"invalid")</f>
      </c>
      <c r="L323" s="1">
        <f>HYPERLINK("https://leetcode.com/problems/interleaving-string/","Open source")</f>
      </c>
    </row>
    <row r="324">
      <c r="A324" s="1" t="str">
        <v>dsa-72</v>
      </c>
      <c r="B324" s="1" t="str">
        <v>dsa</v>
      </c>
      <c r="C324" s="1" t="str">
        <v>2-D DP</v>
      </c>
      <c r="D324" s="1">
        <v>15</v>
      </c>
      <c r="E324" s="1" t="str">
        <v>72 Edit Distance</v>
      </c>
      <c r="F324" s="1" t="str">
        <v>Medium</v>
      </c>
      <c r="G324" s="1">
        <v>0</v>
      </c>
      <c r="H324" s="1">
        <f>IFERROR(IF(B324="dsa",CHOOSE(G324+1,"Not started","Attempted","Solved with help","Solved unaided"),IF(OR(B324="bq",B324="res",B324="day"),CHOOSE(G324+1,"Not started","Done"),CHOOSE(G324+1,"Not started","In progress","Done"))),"invalid")</f>
      </c>
      <c r="L324" s="1">
        <f>HYPERLINK("https://leetcode.com/problems/edit-distance/","Open source")</f>
      </c>
    </row>
    <row r="325">
      <c r="A325" s="1" t="str">
        <v>dsa-312</v>
      </c>
      <c r="B325" s="1" t="str">
        <v>dsa</v>
      </c>
      <c r="C325" s="1" t="str">
        <v>2-D DP</v>
      </c>
      <c r="D325" s="1">
        <v>15</v>
      </c>
      <c r="E325" s="1" t="str">
        <v>312 Burst Balloons</v>
      </c>
      <c r="F325" s="1" t="str">
        <v>Hard</v>
      </c>
      <c r="G325" s="1">
        <v>0</v>
      </c>
      <c r="H325" s="1">
        <f>IFERROR(IF(B325="dsa",CHOOSE(G325+1,"Not started","Attempted","Solved with help","Solved unaided"),IF(OR(B325="bq",B325="res",B325="day"),CHOOSE(G325+1,"Not started","Done"),CHOOSE(G325+1,"Not started","In progress","Done"))),"invalid")</f>
      </c>
      <c r="L325" s="1">
        <f>HYPERLINK("https://leetcode.com/problems/burst-balloons/","Open source")</f>
      </c>
    </row>
    <row r="326">
      <c r="A326" s="1" t="str">
        <v>dsa-10</v>
      </c>
      <c r="B326" s="1" t="str">
        <v>dsa</v>
      </c>
      <c r="C326" s="1" t="str">
        <v>2-D DP</v>
      </c>
      <c r="D326" s="1">
        <v>15</v>
      </c>
      <c r="E326" s="1" t="str">
        <v>10 Regular Expression Matching</v>
      </c>
      <c r="F326" s="1" t="str">
        <v>Hard</v>
      </c>
      <c r="G326" s="1">
        <v>0</v>
      </c>
      <c r="H326" s="1">
        <f>IFERROR(IF(B326="dsa",CHOOSE(G326+1,"Not started","Attempted","Solved with help","Solved unaided"),IF(OR(B326="bq",B326="res",B326="day"),CHOOSE(G326+1,"Not started","Done"),CHOOSE(G326+1,"Not started","In progress","Done"))),"invalid")</f>
      </c>
      <c r="L326" s="1">
        <f>HYPERLINK("https://leetcode.com/problems/regular-expression-matching/","Open source")</f>
      </c>
    </row>
    <row r="327">
      <c r="A327" s="1" t="str">
        <v>dsa-53</v>
      </c>
      <c r="B327" s="1" t="str">
        <v>dsa</v>
      </c>
      <c r="C327" s="1" t="str">
        <v>Greedy</v>
      </c>
      <c r="D327" s="1">
        <v>16</v>
      </c>
      <c r="E327" s="1" t="str">
        <v>53 Maximum Subarray</v>
      </c>
      <c r="F327" s="1" t="str">
        <v>Medium — Kadane</v>
      </c>
      <c r="G327" s="1">
        <v>0</v>
      </c>
      <c r="H327" s="1">
        <f>IFERROR(IF(B327="dsa",CHOOSE(G327+1,"Not started","Attempted","Solved with help","Solved unaided"),IF(OR(B327="bq",B327="res",B327="day"),CHOOSE(G327+1,"Not started","Done"),CHOOSE(G327+1,"Not started","In progress","Done"))),"invalid")</f>
      </c>
      <c r="L327" s="1">
        <f>HYPERLINK("https://leetcode.com/problems/maximum-subarray/","Open source")</f>
      </c>
    </row>
    <row r="328">
      <c r="A328" s="1" t="str">
        <v>dsa-55</v>
      </c>
      <c r="B328" s="1" t="str">
        <v>dsa</v>
      </c>
      <c r="C328" s="1" t="str">
        <v>Greedy</v>
      </c>
      <c r="D328" s="1">
        <v>16</v>
      </c>
      <c r="E328" s="1" t="str">
        <v>55 Jump Game</v>
      </c>
      <c r="F328" s="1" t="str">
        <v>Medium</v>
      </c>
      <c r="G328" s="1">
        <v>0</v>
      </c>
      <c r="H328" s="1">
        <f>IFERROR(IF(B328="dsa",CHOOSE(G328+1,"Not started","Attempted","Solved with help","Solved unaided"),IF(OR(B328="bq",B328="res",B328="day"),CHOOSE(G328+1,"Not started","Done"),CHOOSE(G328+1,"Not started","In progress","Done"))),"invalid")</f>
      </c>
      <c r="L328" s="1">
        <f>HYPERLINK("https://leetcode.com/problems/jump-game/","Open source")</f>
      </c>
    </row>
    <row r="329">
      <c r="A329" s="1" t="str">
        <v>dsa-45</v>
      </c>
      <c r="B329" s="1" t="str">
        <v>dsa</v>
      </c>
      <c r="C329" s="1" t="str">
        <v>Greedy</v>
      </c>
      <c r="D329" s="1">
        <v>16</v>
      </c>
      <c r="E329" s="1" t="str">
        <v>45 Jump Game II</v>
      </c>
      <c r="F329" s="1" t="str">
        <v>Medium</v>
      </c>
      <c r="G329" s="1">
        <v>0</v>
      </c>
      <c r="H329" s="1">
        <f>IFERROR(IF(B329="dsa",CHOOSE(G329+1,"Not started","Attempted","Solved with help","Solved unaided"),IF(OR(B329="bq",B329="res",B329="day"),CHOOSE(G329+1,"Not started","Done"),CHOOSE(G329+1,"Not started","In progress","Done"))),"invalid")</f>
      </c>
      <c r="L329" s="1">
        <f>HYPERLINK("https://leetcode.com/problems/jump-game-ii/","Open source")</f>
      </c>
    </row>
    <row r="330">
      <c r="A330" s="1" t="str">
        <v>dsa-134</v>
      </c>
      <c r="B330" s="1" t="str">
        <v>dsa</v>
      </c>
      <c r="C330" s="1" t="str">
        <v>Greedy</v>
      </c>
      <c r="D330" s="1">
        <v>16</v>
      </c>
      <c r="E330" s="1" t="str">
        <v>134 Gas Station</v>
      </c>
      <c r="F330" s="1" t="str">
        <v>Medium</v>
      </c>
      <c r="G330" s="1">
        <v>0</v>
      </c>
      <c r="H330" s="1">
        <f>IFERROR(IF(B330="dsa",CHOOSE(G330+1,"Not started","Attempted","Solved with help","Solved unaided"),IF(OR(B330="bq",B330="res",B330="day"),CHOOSE(G330+1,"Not started","Done"),CHOOSE(G330+1,"Not started","In progress","Done"))),"invalid")</f>
      </c>
      <c r="L330" s="1">
        <f>HYPERLINK("https://leetcode.com/problems/gas-station/","Open source")</f>
      </c>
    </row>
    <row r="331">
      <c r="A331" s="1" t="str">
        <v>dsa-846</v>
      </c>
      <c r="B331" s="1" t="str">
        <v>dsa</v>
      </c>
      <c r="C331" s="1" t="str">
        <v>Greedy</v>
      </c>
      <c r="D331" s="1">
        <v>16</v>
      </c>
      <c r="E331" s="1" t="str">
        <v>846 Hand of Straights</v>
      </c>
      <c r="F331" s="1" t="str">
        <v>Medium</v>
      </c>
      <c r="G331" s="1">
        <v>0</v>
      </c>
      <c r="H331" s="1">
        <f>IFERROR(IF(B331="dsa",CHOOSE(G331+1,"Not started","Attempted","Solved with help","Solved unaided"),IF(OR(B331="bq",B331="res",B331="day"),CHOOSE(G331+1,"Not started","Done"),CHOOSE(G331+1,"Not started","In progress","Done"))),"invalid")</f>
      </c>
      <c r="L331" s="1">
        <f>HYPERLINK("https://leetcode.com/problems/hand-of-straights/","Open source")</f>
      </c>
    </row>
    <row r="332">
      <c r="A332" s="1" t="str">
        <v>dsa-763</v>
      </c>
      <c r="B332" s="1" t="str">
        <v>dsa</v>
      </c>
      <c r="C332" s="1" t="str">
        <v>Greedy</v>
      </c>
      <c r="D332" s="1">
        <v>16</v>
      </c>
      <c r="E332" s="1" t="str">
        <v>763 Partition Labels</v>
      </c>
      <c r="F332" s="1" t="str">
        <v>Medium</v>
      </c>
      <c r="G332" s="1">
        <v>0</v>
      </c>
      <c r="H332" s="1">
        <f>IFERROR(IF(B332="dsa",CHOOSE(G332+1,"Not started","Attempted","Solved with help","Solved unaided"),IF(OR(B332="bq",B332="res",B332="day"),CHOOSE(G332+1,"Not started","Done"),CHOOSE(G332+1,"Not started","In progress","Done"))),"invalid")</f>
      </c>
      <c r="L332" s="1">
        <f>HYPERLINK("https://leetcode.com/problems/partition-labels/","Open source")</f>
      </c>
    </row>
    <row r="333">
      <c r="A333" s="1" t="str">
        <v>dsa-57</v>
      </c>
      <c r="B333" s="1" t="str">
        <v>dsa</v>
      </c>
      <c r="C333" s="1" t="str">
        <v>Intervals</v>
      </c>
      <c r="D333" s="1">
        <v>16</v>
      </c>
      <c r="E333" s="1" t="str">
        <v>57 Insert Interval</v>
      </c>
      <c r="F333" s="1" t="str">
        <v>Medium</v>
      </c>
      <c r="G333" s="1">
        <v>0</v>
      </c>
      <c r="H333" s="1">
        <f>IFERROR(IF(B333="dsa",CHOOSE(G333+1,"Not started","Attempted","Solved with help","Solved unaided"),IF(OR(B333="bq",B333="res",B333="day"),CHOOSE(G333+1,"Not started","Done"),CHOOSE(G333+1,"Not started","In progress","Done"))),"invalid")</f>
      </c>
      <c r="L333" s="1">
        <f>HYPERLINK("https://leetcode.com/problems/insert-interval/","Open source")</f>
      </c>
    </row>
    <row r="334">
      <c r="A334" s="1" t="str">
        <v>dsa-56</v>
      </c>
      <c r="B334" s="1" t="str">
        <v>dsa</v>
      </c>
      <c r="C334" s="1" t="str">
        <v>Intervals</v>
      </c>
      <c r="D334" s="1">
        <v>16</v>
      </c>
      <c r="E334" s="1" t="str">
        <v>56 Merge Intervals</v>
      </c>
      <c r="F334" s="1" t="str">
        <v>Medium</v>
      </c>
      <c r="G334" s="1">
        <v>0</v>
      </c>
      <c r="H334" s="1">
        <f>IFERROR(IF(B334="dsa",CHOOSE(G334+1,"Not started","Attempted","Solved with help","Solved unaided"),IF(OR(B334="bq",B334="res",B334="day"),CHOOSE(G334+1,"Not started","Done"),CHOOSE(G334+1,"Not started","In progress","Done"))),"invalid")</f>
      </c>
      <c r="L334" s="1">
        <f>HYPERLINK("https://leetcode.com/problems/merge-intervals/","Open source")</f>
      </c>
    </row>
    <row r="335">
      <c r="A335" s="1" t="str">
        <v>dsa-435</v>
      </c>
      <c r="B335" s="1" t="str">
        <v>dsa</v>
      </c>
      <c r="C335" s="1" t="str">
        <v>Intervals</v>
      </c>
      <c r="D335" s="1">
        <v>16</v>
      </c>
      <c r="E335" s="1" t="str">
        <v>435 Non-overlapping Intervals</v>
      </c>
      <c r="F335" s="1" t="str">
        <v>Medium</v>
      </c>
      <c r="G335" s="1">
        <v>0</v>
      </c>
      <c r="H335" s="1">
        <f>IFERROR(IF(B335="dsa",CHOOSE(G335+1,"Not started","Attempted","Solved with help","Solved unaided"),IF(OR(B335="bq",B335="res",B335="day"),CHOOSE(G335+1,"Not started","Done"),CHOOSE(G335+1,"Not started","In progress","Done"))),"invalid")</f>
      </c>
      <c r="L335" s="1">
        <f>HYPERLINK("https://leetcode.com/problems/non-overlapping-intervals/","Open source")</f>
      </c>
    </row>
    <row r="336">
      <c r="A336" s="1" t="str">
        <v>dsa-252</v>
      </c>
      <c r="B336" s="1" t="str">
        <v>dsa</v>
      </c>
      <c r="C336" s="1" t="str">
        <v>Intervals</v>
      </c>
      <c r="D336" s="1">
        <v>16</v>
      </c>
      <c r="E336" s="1" t="str">
        <v>252 Meeting Rooms</v>
      </c>
      <c r="F336" s="1" t="str">
        <v>Easy — LC Premium</v>
      </c>
      <c r="G336" s="1">
        <v>0</v>
      </c>
      <c r="H336" s="1">
        <f>IFERROR(IF(B336="dsa",CHOOSE(G336+1,"Not started","Attempted","Solved with help","Solved unaided"),IF(OR(B336="bq",B336="res",B336="day"),CHOOSE(G336+1,"Not started","Done"),CHOOSE(G336+1,"Not started","In progress","Done"))),"invalid")</f>
      </c>
      <c r="L336" s="1">
        <f>HYPERLINK("https://leetcode.com/problems/meeting-rooms/","Open source")</f>
      </c>
    </row>
    <row r="337">
      <c r="A337" s="1" t="str">
        <v>dsa-253</v>
      </c>
      <c r="B337" s="1" t="str">
        <v>dsa</v>
      </c>
      <c r="C337" s="1" t="str">
        <v>Intervals</v>
      </c>
      <c r="D337" s="1">
        <v>16</v>
      </c>
      <c r="E337" s="1" t="str">
        <v>253 Meeting Rooms II</v>
      </c>
      <c r="F337" s="1" t="str">
        <v>Medium — LC Premium</v>
      </c>
      <c r="G337" s="1">
        <v>0</v>
      </c>
      <c r="H337" s="1">
        <f>IFERROR(IF(B337="dsa",CHOOSE(G337+1,"Not started","Attempted","Solved with help","Solved unaided"),IF(OR(B337="bq",B337="res",B337="day"),CHOOSE(G337+1,"Not started","Done"),CHOOSE(G337+1,"Not started","In progress","Done"))),"invalid")</f>
      </c>
      <c r="L337" s="1">
        <f>HYPERLINK("https://leetcode.com/problems/meeting-rooms-ii/","Open source")</f>
      </c>
    </row>
    <row r="338">
      <c r="A338" s="1" t="str">
        <v>dsa-136</v>
      </c>
      <c r="B338" s="1" t="str">
        <v>dsa</v>
      </c>
      <c r="C338" s="1" t="str">
        <v>Bit Manipulation</v>
      </c>
      <c r="D338" s="1">
        <v>17</v>
      </c>
      <c r="E338" s="1" t="str">
        <v>136 Single Number</v>
      </c>
      <c r="F338" s="1" t="str">
        <v>Easy</v>
      </c>
      <c r="G338" s="1">
        <v>0</v>
      </c>
      <c r="H338" s="1">
        <f>IFERROR(IF(B338="dsa",CHOOSE(G338+1,"Not started","Attempted","Solved with help","Solved unaided"),IF(OR(B338="bq",B338="res",B338="day"),CHOOSE(G338+1,"Not started","Done"),CHOOSE(G338+1,"Not started","In progress","Done"))),"invalid")</f>
      </c>
      <c r="L338" s="1">
        <f>HYPERLINK("https://leetcode.com/problems/single-number/","Open source")</f>
      </c>
    </row>
    <row r="339">
      <c r="A339" s="1" t="str">
        <v>dsa-191</v>
      </c>
      <c r="B339" s="1" t="str">
        <v>dsa</v>
      </c>
      <c r="C339" s="1" t="str">
        <v>Bit Manipulation</v>
      </c>
      <c r="D339" s="1">
        <v>17</v>
      </c>
      <c r="E339" s="1" t="str">
        <v>191 Number of 1 Bits</v>
      </c>
      <c r="F339" s="1" t="str">
        <v>Easy</v>
      </c>
      <c r="G339" s="1">
        <v>0</v>
      </c>
      <c r="H339" s="1">
        <f>IFERROR(IF(B339="dsa",CHOOSE(G339+1,"Not started","Attempted","Solved with help","Solved unaided"),IF(OR(B339="bq",B339="res",B339="day"),CHOOSE(G339+1,"Not started","Done"),CHOOSE(G339+1,"Not started","In progress","Done"))),"invalid")</f>
      </c>
      <c r="L339" s="1">
        <f>HYPERLINK("https://leetcode.com/problems/number-of-1-bits/","Open source")</f>
      </c>
    </row>
    <row r="340">
      <c r="A340" s="1" t="str">
        <v>dsa-338</v>
      </c>
      <c r="B340" s="1" t="str">
        <v>dsa</v>
      </c>
      <c r="C340" s="1" t="str">
        <v>Bit Manipulation</v>
      </c>
      <c r="D340" s="1">
        <v>17</v>
      </c>
      <c r="E340" s="1" t="str">
        <v>338 Counting Bits</v>
      </c>
      <c r="F340" s="1" t="str">
        <v>Easy</v>
      </c>
      <c r="G340" s="1">
        <v>0</v>
      </c>
      <c r="H340" s="1">
        <f>IFERROR(IF(B340="dsa",CHOOSE(G340+1,"Not started","Attempted","Solved with help","Solved unaided"),IF(OR(B340="bq",B340="res",B340="day"),CHOOSE(G340+1,"Not started","Done"),CHOOSE(G340+1,"Not started","In progress","Done"))),"invalid")</f>
      </c>
      <c r="L340" s="1">
        <f>HYPERLINK("https://leetcode.com/problems/counting-bits/","Open source")</f>
      </c>
    </row>
    <row r="341">
      <c r="A341" s="1" t="str">
        <v>dsa-190</v>
      </c>
      <c r="B341" s="1" t="str">
        <v>dsa</v>
      </c>
      <c r="C341" s="1" t="str">
        <v>Bit Manipulation</v>
      </c>
      <c r="D341" s="1">
        <v>17</v>
      </c>
      <c r="E341" s="1" t="str">
        <v>190 Reverse Bits</v>
      </c>
      <c r="F341" s="1" t="str">
        <v>Easy</v>
      </c>
      <c r="G341" s="1">
        <v>0</v>
      </c>
      <c r="H341" s="1">
        <f>IFERROR(IF(B341="dsa",CHOOSE(G341+1,"Not started","Attempted","Solved with help","Solved unaided"),IF(OR(B341="bq",B341="res",B341="day"),CHOOSE(G341+1,"Not started","Done"),CHOOSE(G341+1,"Not started","In progress","Done"))),"invalid")</f>
      </c>
      <c r="L341" s="1">
        <f>HYPERLINK("https://leetcode.com/problems/reverse-bits/","Open source")</f>
      </c>
    </row>
    <row r="342">
      <c r="A342" s="1" t="str">
        <v>dsa-268</v>
      </c>
      <c r="B342" s="1" t="str">
        <v>dsa</v>
      </c>
      <c r="C342" s="1" t="str">
        <v>Bit Manipulation</v>
      </c>
      <c r="D342" s="1">
        <v>17</v>
      </c>
      <c r="E342" s="1" t="str">
        <v>268 Missing Number</v>
      </c>
      <c r="F342" s="1" t="str">
        <v>Easy</v>
      </c>
      <c r="G342" s="1">
        <v>0</v>
      </c>
      <c r="H342" s="1">
        <f>IFERROR(IF(B342="dsa",CHOOSE(G342+1,"Not started","Attempted","Solved with help","Solved unaided"),IF(OR(B342="bq",B342="res",B342="day"),CHOOSE(G342+1,"Not started","Done"),CHOOSE(G342+1,"Not started","In progress","Done"))),"invalid")</f>
      </c>
      <c r="L342" s="1">
        <f>HYPERLINK("https://leetcode.com/problems/missing-number/","Open source")</f>
      </c>
    </row>
    <row r="343">
      <c r="A343" s="1" t="str">
        <v>dsa-371</v>
      </c>
      <c r="B343" s="1" t="str">
        <v>dsa</v>
      </c>
      <c r="C343" s="1" t="str">
        <v>Bit Manipulation</v>
      </c>
      <c r="D343" s="1">
        <v>17</v>
      </c>
      <c r="E343" s="1" t="str">
        <v>371 Sum of Two Integers</v>
      </c>
      <c r="F343" s="1" t="str">
        <v>Medium — Awkward in Python - know why</v>
      </c>
      <c r="G343" s="1">
        <v>0</v>
      </c>
      <c r="H343" s="1">
        <f>IFERROR(IF(B343="dsa",CHOOSE(G343+1,"Not started","Attempted","Solved with help","Solved unaided"),IF(OR(B343="bq",B343="res",B343="day"),CHOOSE(G343+1,"Not started","Done"),CHOOSE(G343+1,"Not started","In progress","Done"))),"invalid")</f>
      </c>
      <c r="L343" s="1">
        <f>HYPERLINK("https://leetcode.com/problems/sum-of-two-integers/","Open source")</f>
      </c>
    </row>
    <row r="344">
      <c r="A344" s="1" t="str">
        <v>dsa-48</v>
      </c>
      <c r="B344" s="1" t="str">
        <v>dsa</v>
      </c>
      <c r="C344" s="1" t="str">
        <v>Math &amp; Geometry</v>
      </c>
      <c r="D344" s="1">
        <v>17</v>
      </c>
      <c r="E344" s="1" t="str">
        <v>48 Rotate Image</v>
      </c>
      <c r="F344" s="1" t="str">
        <v>Medium</v>
      </c>
      <c r="G344" s="1">
        <v>0</v>
      </c>
      <c r="H344" s="1">
        <f>IFERROR(IF(B344="dsa",CHOOSE(G344+1,"Not started","Attempted","Solved with help","Solved unaided"),IF(OR(B344="bq",B344="res",B344="day"),CHOOSE(G344+1,"Not started","Done"),CHOOSE(G344+1,"Not started","In progress","Done"))),"invalid")</f>
      </c>
      <c r="L344" s="1">
        <f>HYPERLINK("https://leetcode.com/problems/rotate-image/","Open source")</f>
      </c>
    </row>
    <row r="345">
      <c r="A345" s="1" t="str">
        <v>dsa-54</v>
      </c>
      <c r="B345" s="1" t="str">
        <v>dsa</v>
      </c>
      <c r="C345" s="1" t="str">
        <v>Math &amp; Geometry</v>
      </c>
      <c r="D345" s="1">
        <v>17</v>
      </c>
      <c r="E345" s="1" t="str">
        <v>54 Spiral Matrix</v>
      </c>
      <c r="F345" s="1" t="str">
        <v>Medium</v>
      </c>
      <c r="G345" s="1">
        <v>0</v>
      </c>
      <c r="H345" s="1">
        <f>IFERROR(IF(B345="dsa",CHOOSE(G345+1,"Not started","Attempted","Solved with help","Solved unaided"),IF(OR(B345="bq",B345="res",B345="day"),CHOOSE(G345+1,"Not started","Done"),CHOOSE(G345+1,"Not started","In progress","Done"))),"invalid")</f>
      </c>
      <c r="L345" s="1">
        <f>HYPERLINK("https://leetcode.com/problems/spiral-matrix/","Open source")</f>
      </c>
    </row>
    <row r="346">
      <c r="A346" s="1" t="str">
        <v>dsa-73</v>
      </c>
      <c r="B346" s="1" t="str">
        <v>dsa</v>
      </c>
      <c r="C346" s="1" t="str">
        <v>Math &amp; Geometry</v>
      </c>
      <c r="D346" s="1">
        <v>17</v>
      </c>
      <c r="E346" s="1" t="str">
        <v>73 Set Matrix Zeroes</v>
      </c>
      <c r="F346" s="1" t="str">
        <v>Medium</v>
      </c>
      <c r="G346" s="1">
        <v>0</v>
      </c>
      <c r="H346" s="1">
        <f>IFERROR(IF(B346="dsa",CHOOSE(G346+1,"Not started","Attempted","Solved with help","Solved unaided"),IF(OR(B346="bq",B346="res",B346="day"),CHOOSE(G346+1,"Not started","Done"),CHOOSE(G346+1,"Not started","In progress","Done"))),"invalid")</f>
      </c>
      <c r="L346" s="1">
        <f>HYPERLINK("https://leetcode.com/problems/set-matrix-zeroes/","Open source")</f>
      </c>
    </row>
    <row r="347">
      <c r="A347" s="1" t="str">
        <v>dsa-202</v>
      </c>
      <c r="B347" s="1" t="str">
        <v>dsa</v>
      </c>
      <c r="C347" s="1" t="str">
        <v>Math &amp; Geometry</v>
      </c>
      <c r="D347" s="1">
        <v>17</v>
      </c>
      <c r="E347" s="1" t="str">
        <v>202 Happy Number</v>
      </c>
      <c r="F347" s="1" t="str">
        <v>Easy</v>
      </c>
      <c r="G347" s="1">
        <v>0</v>
      </c>
      <c r="H347" s="1">
        <f>IFERROR(IF(B347="dsa",CHOOSE(G347+1,"Not started","Attempted","Solved with help","Solved unaided"),IF(OR(B347="bq",B347="res",B347="day"),CHOOSE(G347+1,"Not started","Done"),CHOOSE(G347+1,"Not started","In progress","Done"))),"invalid")</f>
      </c>
      <c r="L347" s="1">
        <f>HYPERLINK("https://leetcode.com/problems/happy-number/","Open source")</f>
      </c>
    </row>
    <row r="348">
      <c r="A348" s="1" t="str">
        <v>dsa-66</v>
      </c>
      <c r="B348" s="1" t="str">
        <v>dsa</v>
      </c>
      <c r="C348" s="1" t="str">
        <v>Math &amp; Geometry</v>
      </c>
      <c r="D348" s="1">
        <v>17</v>
      </c>
      <c r="E348" s="1" t="str">
        <v>66 Plus One</v>
      </c>
      <c r="F348" s="1" t="str">
        <v>Easy</v>
      </c>
      <c r="G348" s="1">
        <v>0</v>
      </c>
      <c r="H348" s="1">
        <f>IFERROR(IF(B348="dsa",CHOOSE(G348+1,"Not started","Attempted","Solved with help","Solved unaided"),IF(OR(B348="bq",B348="res",B348="day"),CHOOSE(G348+1,"Not started","Done"),CHOOSE(G348+1,"Not started","In progress","Done"))),"invalid")</f>
      </c>
      <c r="L348" s="1">
        <f>HYPERLINK("https://leetcode.com/problems/plus-one/","Open source")</f>
      </c>
    </row>
    <row r="349">
      <c r="A349" s="1" t="str">
        <v>dsa-50</v>
      </c>
      <c r="B349" s="1" t="str">
        <v>dsa</v>
      </c>
      <c r="C349" s="1" t="str">
        <v>Math &amp; Geometry</v>
      </c>
      <c r="D349" s="1">
        <v>17</v>
      </c>
      <c r="E349" s="1" t="str">
        <v>50 Pow(x, n)</v>
      </c>
      <c r="F349" s="1" t="str">
        <v>Medium</v>
      </c>
      <c r="G349" s="1">
        <v>0</v>
      </c>
      <c r="H349" s="1">
        <f>IFERROR(IF(B349="dsa",CHOOSE(G349+1,"Not started","Attempted","Solved with help","Solved unaided"),IF(OR(B349="bq",B349="res",B349="day"),CHOOSE(G349+1,"Not started","Done"),CHOOSE(G349+1,"Not started","In progress","Done"))),"invalid")</f>
      </c>
      <c r="L349" s="1">
        <f>HYPERLINK("https://leetcode.com/problems/powx-n/","Open source")</f>
      </c>
    </row>
    <row r="350">
      <c r="A350" s="1" t="str">
        <v>dsa-729</v>
      </c>
      <c r="B350" s="1" t="str">
        <v>dsa</v>
      </c>
      <c r="C350" s="1" t="str">
        <v>Google Set A</v>
      </c>
      <c r="D350" s="1">
        <v>18</v>
      </c>
      <c r="E350" s="1" t="str">
        <v>729 My Calendar I</v>
      </c>
      <c r="F350" s="1" t="str">
        <v>Medium</v>
      </c>
      <c r="G350" s="1">
        <v>0</v>
      </c>
      <c r="H350" s="1">
        <f>IFERROR(IF(B350="dsa",CHOOSE(G350+1,"Not started","Attempted","Solved with help","Solved unaided"),IF(OR(B350="bq",B350="res",B350="day"),CHOOSE(G350+1,"Not started","Done"),CHOOSE(G350+1,"Not started","In progress","Done"))),"invalid")</f>
      </c>
      <c r="L350" s="1">
        <f>HYPERLINK("https://leetcode.com/problems/my-calendar-i/","Open source")</f>
      </c>
    </row>
    <row r="351">
      <c r="A351" s="1" t="str">
        <v>dsa-731</v>
      </c>
      <c r="B351" s="1" t="str">
        <v>dsa</v>
      </c>
      <c r="C351" s="1" t="str">
        <v>Google Set A</v>
      </c>
      <c r="D351" s="1">
        <v>18</v>
      </c>
      <c r="E351" s="1" t="str">
        <v>731 My Calendar II</v>
      </c>
      <c r="F351" s="1" t="str">
        <v>Medium</v>
      </c>
      <c r="G351" s="1">
        <v>0</v>
      </c>
      <c r="H351" s="1">
        <f>IFERROR(IF(B351="dsa",CHOOSE(G351+1,"Not started","Attempted","Solved with help","Solved unaided"),IF(OR(B351="bq",B351="res",B351="day"),CHOOSE(G351+1,"Not started","Done"),CHOOSE(G351+1,"Not started","In progress","Done"))),"invalid")</f>
      </c>
      <c r="L351" s="1">
        <f>HYPERLINK("https://leetcode.com/problems/my-calendar-ii/","Open source")</f>
      </c>
    </row>
    <row r="352">
      <c r="A352" s="1" t="str">
        <v>dsa-715</v>
      </c>
      <c r="B352" s="1" t="str">
        <v>dsa</v>
      </c>
      <c r="C352" s="1" t="str">
        <v>Google Set A</v>
      </c>
      <c r="D352" s="1">
        <v>18</v>
      </c>
      <c r="E352" s="1" t="str">
        <v>715 Range Module</v>
      </c>
      <c r="F352" s="1" t="str">
        <v>Hard</v>
      </c>
      <c r="G352" s="1">
        <v>0</v>
      </c>
      <c r="H352" s="1">
        <f>IFERROR(IF(B352="dsa",CHOOSE(G352+1,"Not started","Attempted","Solved with help","Solved unaided"),IF(OR(B352="bq",B352="res",B352="day"),CHOOSE(G352+1,"Not started","Done"),CHOOSE(G352+1,"Not started","In progress","Done"))),"invalid")</f>
      </c>
      <c r="L352" s="1">
        <f>HYPERLINK("https://leetcode.com/problems/range-module/","Open source")</f>
      </c>
    </row>
    <row r="353">
      <c r="A353" s="1" t="str">
        <v>dsa-528</v>
      </c>
      <c r="B353" s="1" t="str">
        <v>dsa</v>
      </c>
      <c r="C353" s="1" t="str">
        <v>Google Set A</v>
      </c>
      <c r="D353" s="1">
        <v>18</v>
      </c>
      <c r="E353" s="1" t="str">
        <v>528 Random Pick with Weight</v>
      </c>
      <c r="F353" s="1" t="str">
        <v>Medium</v>
      </c>
      <c r="G353" s="1">
        <v>0</v>
      </c>
      <c r="H353" s="1">
        <f>IFERROR(IF(B353="dsa",CHOOSE(G353+1,"Not started","Attempted","Solved with help","Solved unaided"),IF(OR(B353="bq",B353="res",B353="day"),CHOOSE(G353+1,"Not started","Done"),CHOOSE(G353+1,"Not started","In progress","Done"))),"invalid")</f>
      </c>
      <c r="L353" s="1">
        <f>HYPERLINK("https://leetcode.com/problems/random-pick-with-weight/","Open source")</f>
      </c>
    </row>
    <row r="354">
      <c r="A354" s="1" t="str">
        <v>dsa-359</v>
      </c>
      <c r="B354" s="1" t="str">
        <v>dsa</v>
      </c>
      <c r="C354" s="1" t="str">
        <v>Google Set A</v>
      </c>
      <c r="D354" s="1">
        <v>18</v>
      </c>
      <c r="E354" s="1" t="str">
        <v>359 Logger Rate Limiter</v>
      </c>
      <c r="F354" s="1" t="str">
        <v>Easy — LC Premium</v>
      </c>
      <c r="G354" s="1">
        <v>0</v>
      </c>
      <c r="H354" s="1">
        <f>IFERROR(IF(B354="dsa",CHOOSE(G354+1,"Not started","Attempted","Solved with help","Solved unaided"),IF(OR(B354="bq",B354="res",B354="day"),CHOOSE(G354+1,"Not started","Done"),CHOOSE(G354+1,"Not started","In progress","Done"))),"invalid")</f>
      </c>
      <c r="L354" s="1">
        <f>HYPERLINK("https://leetcode.com/problems/logger-rate-limiter/","Open source")</f>
      </c>
    </row>
    <row r="355">
      <c r="A355" s="1" t="str">
        <v>dsa-642</v>
      </c>
      <c r="B355" s="1" t="str">
        <v>dsa</v>
      </c>
      <c r="C355" s="1" t="str">
        <v>Google Set A</v>
      </c>
      <c r="D355" s="1">
        <v>18</v>
      </c>
      <c r="E355" s="1" t="str">
        <v>642 Design Search Autocomplete System</v>
      </c>
      <c r="F355" s="1" t="str">
        <v>Hard — LC Premium</v>
      </c>
      <c r="G355" s="1">
        <v>0</v>
      </c>
      <c r="H355" s="1">
        <f>IFERROR(IF(B355="dsa",CHOOSE(G355+1,"Not started","Attempted","Solved with help","Solved unaided"),IF(OR(B355="bq",B355="res",B355="day"),CHOOSE(G355+1,"Not started","Done"),CHOOSE(G355+1,"Not started","In progress","Done"))),"invalid")</f>
      </c>
      <c r="L355" s="1">
        <f>HYPERLINK("https://leetcode.com/problems/design-search-autocomplete-system/","Open source")</f>
      </c>
    </row>
    <row r="356">
      <c r="A356" s="1" t="str">
        <v>dsa-986</v>
      </c>
      <c r="B356" s="1" t="str">
        <v>dsa</v>
      </c>
      <c r="C356" s="1" t="str">
        <v>Google Set A</v>
      </c>
      <c r="D356" s="1">
        <v>18</v>
      </c>
      <c r="E356" s="1" t="str">
        <v>986 Interval List Intersections</v>
      </c>
      <c r="F356" s="1" t="str">
        <v>Medium</v>
      </c>
      <c r="G356" s="1">
        <v>0</v>
      </c>
      <c r="H356" s="1">
        <f>IFERROR(IF(B356="dsa",CHOOSE(G356+1,"Not started","Attempted","Solved with help","Solved unaided"),IF(OR(B356="bq",B356="res",B356="day"),CHOOSE(G356+1,"Not started","Done"),CHOOSE(G356+1,"Not started","In progress","Done"))),"invalid")</f>
      </c>
      <c r="L356" s="1">
        <f>HYPERLINK("https://leetcode.com/problems/interval-list-intersections/","Open source")</f>
      </c>
    </row>
    <row r="357">
      <c r="A357" s="1" t="str">
        <v>dsa-1499</v>
      </c>
      <c r="B357" s="1" t="str">
        <v>dsa</v>
      </c>
      <c r="C357" s="1" t="str">
        <v>Google Set A</v>
      </c>
      <c r="D357" s="1">
        <v>18</v>
      </c>
      <c r="E357" s="1" t="str">
        <v>1499 Max Value of Equation</v>
      </c>
      <c r="F357" s="1" t="str">
        <v>Hard</v>
      </c>
      <c r="G357" s="1">
        <v>0</v>
      </c>
      <c r="H357" s="1">
        <f>IFERROR(IF(B357="dsa",CHOOSE(G357+1,"Not started","Attempted","Solved with help","Solved unaided"),IF(OR(B357="bq",B357="res",B357="day"),CHOOSE(G357+1,"Not started","Done"),CHOOSE(G357+1,"Not started","In progress","Done"))),"invalid")</f>
      </c>
      <c r="L357" s="1">
        <f>HYPERLINK("https://leetcode.com/problems/max-value-of-equation/","Open source")</f>
      </c>
    </row>
    <row r="358">
      <c r="A358" s="1" t="str">
        <v>dsa-1249</v>
      </c>
      <c r="B358" s="1" t="str">
        <v>dsa</v>
      </c>
      <c r="C358" s="1" t="str">
        <v>Google Set B</v>
      </c>
      <c r="D358" s="1">
        <v>19</v>
      </c>
      <c r="E358" s="1" t="str">
        <v>1249 Minimum Remove to Make Valid Parentheses</v>
      </c>
      <c r="F358" s="1" t="str">
        <v>Medium</v>
      </c>
      <c r="G358" s="1">
        <v>0</v>
      </c>
      <c r="H358" s="1">
        <f>IFERROR(IF(B358="dsa",CHOOSE(G358+1,"Not started","Attempted","Solved with help","Solved unaided"),IF(OR(B358="bq",B358="res",B358="day"),CHOOSE(G358+1,"Not started","Done"),CHOOSE(G358+1,"Not started","In progress","Done"))),"invalid")</f>
      </c>
      <c r="L358" s="1">
        <f>HYPERLINK("https://leetcode.com/problems/minimum-remove-to-make-valid-parentheses/","Open source")</f>
      </c>
    </row>
    <row r="359">
      <c r="A359" s="1" t="str">
        <v>dsa-68</v>
      </c>
      <c r="B359" s="1" t="str">
        <v>dsa</v>
      </c>
      <c r="C359" s="1" t="str">
        <v>Google Set B</v>
      </c>
      <c r="D359" s="1">
        <v>19</v>
      </c>
      <c r="E359" s="1" t="str">
        <v>68 Text Justification</v>
      </c>
      <c r="F359" s="1" t="str">
        <v>Hard</v>
      </c>
      <c r="G359" s="1">
        <v>0</v>
      </c>
      <c r="H359" s="1">
        <f>IFERROR(IF(B359="dsa",CHOOSE(G359+1,"Not started","Attempted","Solved with help","Solved unaided"),IF(OR(B359="bq",B359="res",B359="day"),CHOOSE(G359+1,"Not started","Done"),CHOOSE(G359+1,"Not started","In progress","Done"))),"invalid")</f>
      </c>
      <c r="L359" s="1">
        <f>HYPERLINK("https://leetcode.com/problems/text-justification/","Open source")</f>
      </c>
    </row>
    <row r="360">
      <c r="A360" s="1" t="str">
        <v>dsa-224</v>
      </c>
      <c r="B360" s="1" t="str">
        <v>dsa</v>
      </c>
      <c r="C360" s="1" t="str">
        <v>Google Set B</v>
      </c>
      <c r="D360" s="1">
        <v>19</v>
      </c>
      <c r="E360" s="1" t="str">
        <v>224 Basic Calculator</v>
      </c>
      <c r="F360" s="1" t="str">
        <v>Hard</v>
      </c>
      <c r="G360" s="1">
        <v>0</v>
      </c>
      <c r="H360" s="1">
        <f>IFERROR(IF(B360="dsa",CHOOSE(G360+1,"Not started","Attempted","Solved with help","Solved unaided"),IF(OR(B360="bq",B360="res",B360="day"),CHOOSE(G360+1,"Not started","Done"),CHOOSE(G360+1,"Not started","In progress","Done"))),"invalid")</f>
      </c>
      <c r="L360" s="1">
        <f>HYPERLINK("https://leetcode.com/problems/basic-calculator/","Open source")</f>
      </c>
    </row>
    <row r="361">
      <c r="A361" s="1" t="str">
        <v>dsa-227</v>
      </c>
      <c r="B361" s="1" t="str">
        <v>dsa</v>
      </c>
      <c r="C361" s="1" t="str">
        <v>Google Set B</v>
      </c>
      <c r="D361" s="1">
        <v>19</v>
      </c>
      <c r="E361" s="1" t="str">
        <v>227 Basic Calculator II</v>
      </c>
      <c r="F361" s="1" t="str">
        <v>Medium</v>
      </c>
      <c r="G361" s="1">
        <v>0</v>
      </c>
      <c r="H361" s="1">
        <f>IFERROR(IF(B361="dsa",CHOOSE(G361+1,"Not started","Attempted","Solved with help","Solved unaided"),IF(OR(B361="bq",B361="res",B361="day"),CHOOSE(G361+1,"Not started","Done"),CHOOSE(G361+1,"Not started","In progress","Done"))),"invalid")</f>
      </c>
      <c r="L361" s="1">
        <f>HYPERLINK("https://leetcode.com/problems/basic-calculator-ii/","Open source")</f>
      </c>
    </row>
    <row r="362">
      <c r="A362" s="1" t="str">
        <v>dsa-833</v>
      </c>
      <c r="B362" s="1" t="str">
        <v>dsa</v>
      </c>
      <c r="C362" s="1" t="str">
        <v>Google Set B</v>
      </c>
      <c r="D362" s="1">
        <v>19</v>
      </c>
      <c r="E362" s="1" t="str">
        <v>833 Find And Replace in String</v>
      </c>
      <c r="F362" s="1" t="str">
        <v>Medium</v>
      </c>
      <c r="G362" s="1">
        <v>0</v>
      </c>
      <c r="H362" s="1">
        <f>IFERROR(IF(B362="dsa",CHOOSE(G362+1,"Not started","Attempted","Solved with help","Solved unaided"),IF(OR(B362="bq",B362="res",B362="day"),CHOOSE(G362+1,"Not started","Done"),CHOOSE(G362+1,"Not started","In progress","Done"))),"invalid")</f>
      </c>
      <c r="L362" s="1">
        <f>HYPERLINK("https://leetcode.com/problems/find-and-replace-in-string/","Open source")</f>
      </c>
    </row>
    <row r="363">
      <c r="A363" s="1" t="str">
        <v>dsa-792</v>
      </c>
      <c r="B363" s="1" t="str">
        <v>dsa</v>
      </c>
      <c r="C363" s="1" t="str">
        <v>Google Set B</v>
      </c>
      <c r="D363" s="1">
        <v>19</v>
      </c>
      <c r="E363" s="1" t="str">
        <v>792 Number of Matching Subsequences</v>
      </c>
      <c r="F363" s="1" t="str">
        <v>Medium</v>
      </c>
      <c r="G363" s="1">
        <v>0</v>
      </c>
      <c r="H363" s="1">
        <f>IFERROR(IF(B363="dsa",CHOOSE(G363+1,"Not started","Attempted","Solved with help","Solved unaided"),IF(OR(B363="bq",B363="res",B363="day"),CHOOSE(G363+1,"Not started","Done"),CHOOSE(G363+1,"Not started","In progress","Done"))),"invalid")</f>
      </c>
      <c r="L363" s="1">
        <f>HYPERLINK("https://leetcode.com/problems/number-of-matching-subsequences/","Open source")</f>
      </c>
    </row>
    <row r="364">
      <c r="A364" s="1" t="str">
        <v>dsa-340</v>
      </c>
      <c r="B364" s="1" t="str">
        <v>dsa</v>
      </c>
      <c r="C364" s="1" t="str">
        <v>Google Set B</v>
      </c>
      <c r="D364" s="1">
        <v>19</v>
      </c>
      <c r="E364" s="1" t="str">
        <v>340 Longest Substring with At Most K Distinct Chars</v>
      </c>
      <c r="F364" s="1" t="str">
        <v>Medium — LC Premium</v>
      </c>
      <c r="G364" s="1">
        <v>0</v>
      </c>
      <c r="H364" s="1">
        <f>IFERROR(IF(B364="dsa",CHOOSE(G364+1,"Not started","Attempted","Solved with help","Solved unaided"),IF(OR(B364="bq",B364="res",B364="day"),CHOOSE(G364+1,"Not started","Done"),CHOOSE(G364+1,"Not started","In progress","Done"))),"invalid")</f>
      </c>
      <c r="L364" s="1">
        <f>HYPERLINK("https://leetcode.com/problems/longest-substring-with-at-most-k-distinct-characters/","Open source")</f>
      </c>
    </row>
    <row r="365">
      <c r="A365" s="1" t="str">
        <v>dsa-946</v>
      </c>
      <c r="B365" s="1" t="str">
        <v>dsa</v>
      </c>
      <c r="C365" s="1" t="str">
        <v>Google Set B</v>
      </c>
      <c r="D365" s="1">
        <v>19</v>
      </c>
      <c r="E365" s="1" t="str">
        <v>946 Validate Stack Sequences</v>
      </c>
      <c r="F365" s="1" t="str">
        <v>Medium</v>
      </c>
      <c r="G365" s="1">
        <v>0</v>
      </c>
      <c r="H365" s="1">
        <f>IFERROR(IF(B365="dsa",CHOOSE(G365+1,"Not started","Attempted","Solved with help","Solved unaided"),IF(OR(B365="bq",B365="res",B365="day"),CHOOSE(G365+1,"Not started","Done"),CHOOSE(G365+1,"Not started","In progress","Done"))),"invalid")</f>
      </c>
      <c r="L365" s="1">
        <f>HYPERLINK("https://leetcode.com/problems/validate-stack-sequences/","Open source")</f>
      </c>
    </row>
    <row r="366">
      <c r="A366" s="1" t="str">
        <v>dsa-843</v>
      </c>
      <c r="B366" s="1" t="str">
        <v>dsa</v>
      </c>
      <c r="C366" s="1" t="str">
        <v>Hard Mixed</v>
      </c>
      <c r="D366" s="1">
        <v>20</v>
      </c>
      <c r="E366" s="1" t="str">
        <v>843 Guess the Word</v>
      </c>
      <c r="F366" s="1" t="str">
        <v>Hard — Interactive problem</v>
      </c>
      <c r="G366" s="1">
        <v>0</v>
      </c>
      <c r="H366" s="1">
        <f>IFERROR(IF(B366="dsa",CHOOSE(G366+1,"Not started","Attempted","Solved with help","Solved unaided"),IF(OR(B366="bq",B366="res",B366="day"),CHOOSE(G366+1,"Not started","Done"),CHOOSE(G366+1,"Not started","In progress","Done"))),"invalid")</f>
      </c>
      <c r="L366" s="1">
        <f>HYPERLINK("https://leetcode.com/problems/guess-the-word/","Open source")</f>
      </c>
    </row>
    <row r="367">
      <c r="A367" s="1" t="str">
        <v>dsa-315</v>
      </c>
      <c r="B367" s="1" t="str">
        <v>dsa</v>
      </c>
      <c r="C367" s="1" t="str">
        <v>Hard Mixed</v>
      </c>
      <c r="D367" s="1">
        <v>20</v>
      </c>
      <c r="E367" s="1" t="str">
        <v>315 Count of Smaller Numbers After Self</v>
      </c>
      <c r="F367" s="1" t="str">
        <v>Hard</v>
      </c>
      <c r="G367" s="1">
        <v>0</v>
      </c>
      <c r="H367" s="1">
        <f>IFERROR(IF(B367="dsa",CHOOSE(G367+1,"Not started","Attempted","Solved with help","Solved unaided"),IF(OR(B367="bq",B367="res",B367="day"),CHOOSE(G367+1,"Not started","Done"),CHOOSE(G367+1,"Not started","In progress","Done"))),"invalid")</f>
      </c>
      <c r="L367" s="1">
        <f>HYPERLINK("https://leetcode.com/problems/count-of-smaller-numbers-after-self/","Open source")</f>
      </c>
    </row>
    <row r="368">
      <c r="A368" s="1" t="str">
        <v>dsa-887</v>
      </c>
      <c r="B368" s="1" t="str">
        <v>dsa</v>
      </c>
      <c r="C368" s="1" t="str">
        <v>Hard Mixed</v>
      </c>
      <c r="D368" s="1">
        <v>20</v>
      </c>
      <c r="E368" s="1" t="str">
        <v>887 Super Egg Drop</v>
      </c>
      <c r="F368" s="1" t="str">
        <v>Hard</v>
      </c>
      <c r="G368" s="1">
        <v>0</v>
      </c>
      <c r="H368" s="1">
        <f>IFERROR(IF(B368="dsa",CHOOSE(G368+1,"Not started","Attempted","Solved with help","Solved unaided"),IF(OR(B368="bq",B368="res",B368="day"),CHOOSE(G368+1,"Not started","Done"),CHOOSE(G368+1,"Not started","In progress","Done"))),"invalid")</f>
      </c>
      <c r="L368" s="1">
        <f>HYPERLINK("https://leetcode.com/problems/super-egg-drop/","Open source")</f>
      </c>
    </row>
    <row r="369">
      <c r="A369" s="1" t="str">
        <v>dsa-410</v>
      </c>
      <c r="B369" s="1" t="str">
        <v>dsa</v>
      </c>
      <c r="C369" s="1" t="str">
        <v>Hard Mixed</v>
      </c>
      <c r="D369" s="1">
        <v>20</v>
      </c>
      <c r="E369" s="1" t="str">
        <v>410 Split Array Largest Sum</v>
      </c>
      <c r="F369" s="1" t="str">
        <v>Hard</v>
      </c>
      <c r="G369" s="1">
        <v>0</v>
      </c>
      <c r="H369" s="1">
        <f>IFERROR(IF(B369="dsa",CHOOSE(G369+1,"Not started","Attempted","Solved with help","Solved unaided"),IF(OR(B369="bq",B369="res",B369="day"),CHOOSE(G369+1,"Not started","Done"),CHOOSE(G369+1,"Not started","In progress","Done"))),"invalid")</f>
      </c>
      <c r="L369" s="1">
        <f>HYPERLINK("https://leetcode.com/problems/split-array-largest-sum/","Open source")</f>
      </c>
    </row>
    <row r="370">
      <c r="A370" s="1" t="str">
        <v>dsa-329</v>
      </c>
      <c r="B370" s="1" t="str">
        <v>dsa</v>
      </c>
      <c r="C370" s="1" t="str">
        <v>Hard Mixed</v>
      </c>
      <c r="D370" s="1">
        <v>20</v>
      </c>
      <c r="E370" s="1" t="str">
        <v>329 Longest Increasing Path in a Matrix</v>
      </c>
      <c r="F370" s="1" t="str">
        <v>Hard</v>
      </c>
      <c r="G370" s="1">
        <v>0</v>
      </c>
      <c r="H370" s="1">
        <f>IFERROR(IF(B370="dsa",CHOOSE(G370+1,"Not started","Attempted","Solved with help","Solved unaided"),IF(OR(B370="bq",B370="res",B370="day"),CHOOSE(G370+1,"Not started","Done"),CHOOSE(G370+1,"Not started","In progress","Done"))),"invalid")</f>
      </c>
      <c r="L370" s="1">
        <f>HYPERLINK("https://leetcode.com/problems/longest-increasing-path-in-a-matrix/","Open source")</f>
      </c>
    </row>
    <row r="371">
      <c r="A371" s="1" t="str">
        <v>dsa-140</v>
      </c>
      <c r="B371" s="1" t="str">
        <v>dsa</v>
      </c>
      <c r="C371" s="1" t="str">
        <v>Hard Mixed</v>
      </c>
      <c r="D371" s="1">
        <v>20</v>
      </c>
      <c r="E371" s="1" t="str">
        <v>140 Word Break II</v>
      </c>
      <c r="F371" s="1" t="str">
        <v>Hard</v>
      </c>
      <c r="G371" s="1">
        <v>0</v>
      </c>
      <c r="H371" s="1">
        <f>IFERROR(IF(B371="dsa",CHOOSE(G371+1,"Not started","Attempted","Solved with help","Solved unaided"),IF(OR(B371="bq",B371="res",B371="day"),CHOOSE(G371+1,"Not started","Done"),CHOOSE(G371+1,"Not started","In progress","Done"))),"invalid")</f>
      </c>
      <c r="L371" s="1">
        <f>HYPERLINK("https://leetcode.com/problems/word-break-ii/","Open source")</f>
      </c>
    </row>
    <row r="372">
      <c r="A372" s="1" t="str">
        <v>dsa-272</v>
      </c>
      <c r="B372" s="1" t="str">
        <v>dsa</v>
      </c>
      <c r="C372" s="1" t="str">
        <v>Hard Mixed</v>
      </c>
      <c r="D372" s="1">
        <v>20</v>
      </c>
      <c r="E372" s="1" t="str">
        <v>272 Closest Binary Search Tree Value II</v>
      </c>
      <c r="F372" s="1" t="str">
        <v>Hard — LC Premium</v>
      </c>
      <c r="G372" s="1">
        <v>0</v>
      </c>
      <c r="H372" s="1">
        <f>IFERROR(IF(B372="dsa",CHOOSE(G372+1,"Not started","Attempted","Solved with help","Solved unaided"),IF(OR(B372="bq",B372="res",B372="day"),CHOOSE(G372+1,"Not started","Done"),CHOOSE(G372+1,"Not started","In progress","Done"))),"invalid")</f>
      </c>
      <c r="L372" s="1">
        <f>HYPERLINK("https://leetcode.com/problems/closest-binary-search-tree-value-ii/","Open source")</f>
      </c>
    </row>
    <row r="373">
      <c r="A373" s="1" t="str">
        <v>dsa-218</v>
      </c>
      <c r="B373" s="1" t="str">
        <v>dsa</v>
      </c>
      <c r="C373" s="1" t="str">
        <v>Hard Mixed</v>
      </c>
      <c r="D373" s="1">
        <v>20</v>
      </c>
      <c r="E373" s="1" t="str">
        <v>218 The Skyline Problem</v>
      </c>
      <c r="F373" s="1" t="str">
        <v>Hard</v>
      </c>
      <c r="G373" s="1">
        <v>0</v>
      </c>
      <c r="H373" s="1">
        <f>IFERROR(IF(B373="dsa",CHOOSE(G373+1,"Not started","Attempted","Solved with help","Solved unaided"),IF(OR(B373="bq",B373="res",B373="day"),CHOOSE(G373+1,"Not started","Done"),CHOOSE(G373+1,"Not started","In progress","Done"))),"invalid")</f>
      </c>
      <c r="L373" s="1">
        <f>HYPERLINK("https://leetcode.com/problems/the-skyline-problem/","Open source")</f>
      </c>
    </row>
    <row r="374">
      <c r="A374" s="1" t="str">
        <v>dsa-939</v>
      </c>
      <c r="B374" s="1" t="str">
        <v>dsa</v>
      </c>
      <c r="C374" s="1" t="str">
        <v>Hard Mixed</v>
      </c>
      <c r="D374" s="1">
        <v>20</v>
      </c>
      <c r="E374" s="1" t="str">
        <v>939 Minimum Area Rectangle</v>
      </c>
      <c r="F374" s="1" t="str">
        <v>Medium</v>
      </c>
      <c r="G374" s="1">
        <v>0</v>
      </c>
      <c r="H374" s="1">
        <f>IFERROR(IF(B374="dsa",CHOOSE(G374+1,"Not started","Attempted","Solved with help","Solved unaided"),IF(OR(B374="bq",B374="res",B374="day"),CHOOSE(G374+1,"Not started","Done"),CHOOSE(G374+1,"Not started","In progress","Done"))),"invalid")</f>
      </c>
      <c r="L374" s="1">
        <f>HYPERLINK("https://leetcode.com/problems/minimum-area-rectangle/","Open source")</f>
      </c>
    </row>
    <row r="375">
      <c r="A375" s="1" t="str">
        <v>dsa-1937</v>
      </c>
      <c r="B375" s="1" t="str">
        <v>dsa</v>
      </c>
      <c r="C375" s="1" t="str">
        <v>Hard Mixed</v>
      </c>
      <c r="D375" s="1">
        <v>20</v>
      </c>
      <c r="E375" s="1" t="str">
        <v>1937 Maximum Number of Points with Cost</v>
      </c>
      <c r="F375" s="1" t="str">
        <v>Medium</v>
      </c>
      <c r="G375" s="1">
        <v>0</v>
      </c>
      <c r="H375" s="1">
        <f>IFERROR(IF(B375="dsa",CHOOSE(G375+1,"Not started","Attempted","Solved with help","Solved unaided"),IF(OR(B375="bq",B375="res",B375="day"),CHOOSE(G375+1,"Not started","Done"),CHOOSE(G375+1,"Not started","In progress","Done"))),"invalid")</f>
      </c>
      <c r="L375" s="1">
        <f>HYPERLINK("https://leetcode.com/problems/maximum-number-of-points-with-cost/","Open source")</f>
      </c>
    </row>
    <row r="376">
      <c r="A376" s="1" t="str">
        <v>py-1</v>
      </c>
      <c r="B376" s="1" t="str">
        <v>py</v>
      </c>
      <c r="C376" s="1" t="str">
        <v>Types</v>
      </c>
      <c r="D376" s="1">
        <v>1</v>
      </c>
      <c r="E376" s="1" t="str">
        <v>int/long/double, static typing -&gt; Arbitrary-precision int, float, no overflow</v>
      </c>
      <c r="F376" s="1" t="str">
        <v>Why: No Integer.MAX_VALUE; bit tricks behave differently | Drill: Write a function that overflows in Java and prove it does not in Python</v>
      </c>
      <c r="G376" s="1">
        <v>0</v>
      </c>
      <c r="H376" s="1">
        <f>IFERROR(IF(B376="dsa",CHOOSE(G376+1,"Not started","Attempted","Solved with help","Solved unaided"),IF(OR(B376="bq",B376="res",B376="day"),CHOOSE(G376+1,"Not started","Done"),CHOOSE(G376+1,"Not started","In progress","Done"))),"invalid")</f>
      </c>
      <c r="L376" s="1">
        <f>HYPERLINK("https://docs.python.org/3/library/stdtypes.html","Open source")</f>
      </c>
    </row>
    <row r="377">
      <c r="A377" s="1" t="str">
        <v>py-2</v>
      </c>
      <c r="B377" s="1" t="str">
        <v>py</v>
      </c>
      <c r="C377" s="1" t="str">
        <v>Types</v>
      </c>
      <c r="D377" s="1">
        <v>1</v>
      </c>
      <c r="E377" s="1" t="str">
        <v>String (immutable), StringBuilder -&gt; str (immutable), ''.join(list)</v>
      </c>
      <c r="F377" s="1" t="str">
        <v>Why: String concat in a loop is O(n^2); interviewers notice | Drill: Build a 10k-char string two ways, time both</v>
      </c>
      <c r="G377" s="1">
        <v>0</v>
      </c>
      <c r="H377" s="1">
        <f>IFERROR(IF(B377="dsa",CHOOSE(G377+1,"Not started","Attempted","Solved with help","Solved unaided"),IF(OR(B377="bq",B377="res",B377="day"),CHOOSE(G377+1,"Not started","Done"),CHOOSE(G377+1,"Not started","In progress","Done"))),"invalid")</f>
      </c>
      <c r="L377" s="1">
        <f>HYPERLINK("https://docs.python.org/3/library/stdtypes.html","Open source")</f>
      </c>
    </row>
    <row r="378">
      <c r="A378" s="1" t="str">
        <v>py-3</v>
      </c>
      <c r="B378" s="1" t="str">
        <v>py</v>
      </c>
      <c r="C378" s="1" t="str">
        <v>Syntax</v>
      </c>
      <c r="D378" s="1">
        <v>1</v>
      </c>
      <c r="E378" s="1" t="str">
        <v>Braces, semicolons, explicit types -&gt; Indentation, dynamic typing, no semicolons</v>
      </c>
      <c r="F378" s="1" t="str">
        <v>Why: Muscle memory is the #1 source of syntax errors on day 1 | Drill: Retype 5 old Java solutions in Python from scratch</v>
      </c>
      <c r="G378" s="1">
        <v>0</v>
      </c>
      <c r="H378" s="1">
        <f>IFERROR(IF(B378="dsa",CHOOSE(G378+1,"Not started","Attempted","Solved with help","Solved unaided"),IF(OR(B378="bq",B378="res",B378="day"),CHOOSE(G378+1,"Not started","Done"),CHOOSE(G378+1,"Not started","In progress","Done"))),"invalid")</f>
      </c>
      <c r="L378" s="1">
        <f>HYPERLINK("https://docs.python.org/3/tutorial/introduction.html","Open source")</f>
      </c>
    </row>
    <row r="379">
      <c r="A379" s="1" t="str">
        <v>py-4</v>
      </c>
      <c r="B379" s="1" t="str">
        <v>py</v>
      </c>
      <c r="C379" s="1" t="str">
        <v>Syntax</v>
      </c>
      <c r="D379" s="1">
        <v>1</v>
      </c>
      <c r="E379" s="1" t="str">
        <v>Ternary a ? b : c -&gt; b if a else c</v>
      </c>
      <c r="F379" s="1" t="str">
        <v>Why: Reads backwards to a Java dev | Drill: Convert 10 ternaries</v>
      </c>
      <c r="G379" s="1">
        <v>0</v>
      </c>
      <c r="H379" s="1">
        <f>IFERROR(IF(B379="dsa",CHOOSE(G379+1,"Not started","Attempted","Solved with help","Solved unaided"),IF(OR(B379="bq",B379="res",B379="day"),CHOOSE(G379+1,"Not started","Done"),CHOOSE(G379+1,"Not started","In progress","Done"))),"invalid")</f>
      </c>
      <c r="L379" s="1">
        <f>HYPERLINK("https://docs.python.org/3/reference/expressions.html","Open source")</f>
      </c>
    </row>
    <row r="380">
      <c r="A380" s="1" t="str">
        <v>py-5</v>
      </c>
      <c r="B380" s="1" t="str">
        <v>py</v>
      </c>
      <c r="C380" s="1" t="str">
        <v>Collections</v>
      </c>
      <c r="D380" s="1">
        <v>1</v>
      </c>
      <c r="E380" s="1" t="str">
        <v>ArrayList&lt;T&gt; -&gt; list</v>
      </c>
      <c r="F380" s="1" t="str">
        <v>Why: Core sequence type; know append/pop cost | Drill: Reimplement a dynamic array</v>
      </c>
      <c r="G380" s="1">
        <v>0</v>
      </c>
      <c r="H380" s="1">
        <f>IFERROR(IF(B380="dsa",CHOOSE(G380+1,"Not started","Attempted","Solved with help","Solved unaided"),IF(OR(B380="bq",B380="res",B380="day"),CHOOSE(G380+1,"Not started","Done"),CHOOSE(G380+1,"Not started","In progress","Done"))),"invalid")</f>
      </c>
      <c r="L380" s="1">
        <f>HYPERLINK("https://docs.python.org/3/tutorial/datastructures.html","Open source")</f>
      </c>
    </row>
    <row r="381">
      <c r="A381" s="1" t="str">
        <v>py-6</v>
      </c>
      <c r="B381" s="1" t="str">
        <v>py</v>
      </c>
      <c r="C381" s="1" t="str">
        <v>Collections</v>
      </c>
      <c r="D381" s="1">
        <v>1</v>
      </c>
      <c r="E381" s="1" t="str">
        <v>HashMap&lt;K,V&gt; -&gt; dict</v>
      </c>
      <c r="F381" s="1" t="str">
        <v>Why: Insertion-ordered since 3.7; get(k, default) | Drill: Rewrite 3 HashMap solutions using dict.get and setdefault</v>
      </c>
      <c r="G381" s="1">
        <v>0</v>
      </c>
      <c r="H381" s="1">
        <f>IFERROR(IF(B381="dsa",CHOOSE(G381+1,"Not started","Attempted","Solved with help","Solved unaided"),IF(OR(B381="bq",B381="res",B381="day"),CHOOSE(G381+1,"Not started","Done"),CHOOSE(G381+1,"Not started","In progress","Done"))),"invalid")</f>
      </c>
      <c r="L381" s="1">
        <f>HYPERLINK("https://docs.python.org/3/library/stdtypes.html","Open source")</f>
      </c>
    </row>
    <row r="382">
      <c r="A382" s="1" t="str">
        <v>py-7</v>
      </c>
      <c r="B382" s="1" t="str">
        <v>py</v>
      </c>
      <c r="C382" s="1" t="str">
        <v>Collections</v>
      </c>
      <c r="D382" s="1">
        <v>1</v>
      </c>
      <c r="E382" s="1" t="str">
        <v>HashSet&lt;T&gt; -&gt; set</v>
      </c>
      <c r="F382" s="1" t="str">
        <v>Why: Set literals, set ops (|, &amp;, -) | Drill: Solve 3 set problems using operators, not loops</v>
      </c>
      <c r="G382" s="1">
        <v>0</v>
      </c>
      <c r="H382" s="1">
        <f>IFERROR(IF(B382="dsa",CHOOSE(G382+1,"Not started","Attempted","Solved with help","Solved unaided"),IF(OR(B382="bq",B382="res",B382="day"),CHOOSE(G382+1,"Not started","Done"),CHOOSE(G382+1,"Not started","In progress","Done"))),"invalid")</f>
      </c>
      <c r="L382" s="1">
        <f>HYPERLINK("https://docs.python.org/3/library/stdtypes.html","Open source")</f>
      </c>
    </row>
    <row r="383">
      <c r="A383" s="1" t="str">
        <v>py-8</v>
      </c>
      <c r="B383" s="1" t="str">
        <v>py</v>
      </c>
      <c r="C383" s="1" t="str">
        <v>Collections</v>
      </c>
      <c r="D383" s="1">
        <v>1</v>
      </c>
      <c r="E383" s="1" t="str">
        <v>ArrayDeque / LinkedList -&gt; collections.deque</v>
      </c>
      <c r="F383" s="1" t="str">
        <v>Why: O(1) both ends; the BFS workhorse | Drill: Write BFS with deque, no list.pop(0)</v>
      </c>
      <c r="G383" s="1">
        <v>0</v>
      </c>
      <c r="H383" s="1">
        <f>IFERROR(IF(B383="dsa",CHOOSE(G383+1,"Not started","Attempted","Solved with help","Solved unaided"),IF(OR(B383="bq",B383="res",B383="day"),CHOOSE(G383+1,"Not started","Done"),CHOOSE(G383+1,"Not started","In progress","Done"))),"invalid")</f>
      </c>
      <c r="L383" s="1">
        <f>HYPERLINK("https://docs.python.org/3/library/collections.html","Open source")</f>
      </c>
    </row>
    <row r="384">
      <c r="A384" s="1" t="str">
        <v>py-9</v>
      </c>
      <c r="B384" s="1" t="str">
        <v>py</v>
      </c>
      <c r="C384" s="1" t="str">
        <v>Collections</v>
      </c>
      <c r="D384" s="1">
        <v>1</v>
      </c>
      <c r="E384" s="1" t="str">
        <v>PriorityQueue&lt;T&gt; -&gt; heapq (min-heap only)</v>
      </c>
      <c r="F384" s="1" t="str">
        <v>Why: No max-heap: negate values or use tuples | Drill: Implement a max-heap with heapq</v>
      </c>
      <c r="G384" s="1">
        <v>0</v>
      </c>
      <c r="H384" s="1">
        <f>IFERROR(IF(B384="dsa",CHOOSE(G384+1,"Not started","Attempted","Solved with help","Solved unaided"),IF(OR(B384="bq",B384="res",B384="day"),CHOOSE(G384+1,"Not started","Done"),CHOOSE(G384+1,"Not started","In progress","Done"))),"invalid")</f>
      </c>
      <c r="L384" s="1">
        <f>HYPERLINK("https://docs.python.org/3/library/heapq.html","Open source")</f>
      </c>
    </row>
    <row r="385">
      <c r="A385" s="1" t="str">
        <v>py-10</v>
      </c>
      <c r="B385" s="1" t="str">
        <v>py</v>
      </c>
      <c r="C385" s="1" t="str">
        <v>Collections</v>
      </c>
      <c r="D385" s="1">
        <v>1</v>
      </c>
      <c r="E385" s="1" t="str">
        <v>TreeMap / SortedDictionary -&gt; No stdlib equivalent; bisect or sortedcontainers</v>
      </c>
      <c r="F385" s="1" t="str">
        <v>Why: Big gap from Java/C#; know the workaround | Drill: Solve 2 problems needing ordered keys using bisect</v>
      </c>
      <c r="G385" s="1">
        <v>0</v>
      </c>
      <c r="H385" s="1">
        <f>IFERROR(IF(B385="dsa",CHOOSE(G385+1,"Not started","Attempted","Solved with help","Solved unaided"),IF(OR(B385="bq",B385="res",B385="day"),CHOOSE(G385+1,"Not started","Done"),CHOOSE(G385+1,"Not started","In progress","Done"))),"invalid")</f>
      </c>
      <c r="L385" s="1">
        <f>HYPERLINK("https://docs.python.org/3/library/bisect.html","Open source")</f>
      </c>
    </row>
    <row r="386">
      <c r="A386" s="1" t="str">
        <v>py-11</v>
      </c>
      <c r="B386" s="1" t="str">
        <v>py</v>
      </c>
      <c r="C386" s="1" t="str">
        <v>Collections</v>
      </c>
      <c r="D386" s="1">
        <v>1</v>
      </c>
      <c r="E386" s="1" t="str">
        <v>Map.getOrDefault / computeIfAbsent -&gt; defaultdict, dict.setdefault</v>
      </c>
      <c r="F386" s="1" t="str">
        <v>Why: Removes boilerplate | Drill: Rewrite a graph builder with defaultdict(list)</v>
      </c>
      <c r="G386" s="1">
        <v>0</v>
      </c>
      <c r="H386" s="1">
        <f>IFERROR(IF(B386="dsa",CHOOSE(G386+1,"Not started","Attempted","Solved with help","Solved unaided"),IF(OR(B386="bq",B386="res",B386="day"),CHOOSE(G386+1,"Not started","Done"),CHOOSE(G386+1,"Not started","In progress","Done"))),"invalid")</f>
      </c>
      <c r="L386" s="1">
        <f>HYPERLINK("https://docs.python.org/3/library/collections.html","Open source")</f>
      </c>
    </row>
    <row r="387">
      <c r="A387" s="1" t="str">
        <v>py-12</v>
      </c>
      <c r="B387" s="1" t="str">
        <v>py</v>
      </c>
      <c r="C387" s="1" t="str">
        <v>Collections</v>
      </c>
      <c r="D387" s="1">
        <v>1</v>
      </c>
      <c r="E387" s="1" t="str">
        <v>Manual frequency counting -&gt; collections.Counter</v>
      </c>
      <c r="F387" s="1" t="str">
        <v>Why: One line; most_common(k) for top-K | Drill: Solve 347 with Counter</v>
      </c>
      <c r="G387" s="1">
        <v>0</v>
      </c>
      <c r="H387" s="1">
        <f>IFERROR(IF(B387="dsa",CHOOSE(G387+1,"Not started","Attempted","Solved with help","Solved unaided"),IF(OR(B387="bq",B387="res",B387="day"),CHOOSE(G387+1,"Not started","Done"),CHOOSE(G387+1,"Not started","In progress","Done"))),"invalid")</f>
      </c>
      <c r="L387" s="1">
        <f>HYPERLINK("https://docs.python.org/3/library/collections.html","Open source")</f>
      </c>
    </row>
    <row r="388">
      <c r="A388" s="1" t="str">
        <v>py-13</v>
      </c>
      <c r="B388" s="1" t="str">
        <v>py</v>
      </c>
      <c r="C388" s="1" t="str">
        <v>Idioms</v>
      </c>
      <c r="D388" s="1">
        <v>2</v>
      </c>
      <c r="E388" s="1" t="str">
        <v>for (int i=0;i&lt;n;i++) -&gt; for i in range(n) / enumerate / zip</v>
      </c>
      <c r="F388" s="1" t="str">
        <v>Why: Index loops are a Java tell | Drill: Ban range(len(x)) for one week</v>
      </c>
      <c r="G388" s="1">
        <v>0</v>
      </c>
      <c r="H388" s="1">
        <f>IFERROR(IF(B388="dsa",CHOOSE(G388+1,"Not started","Attempted","Solved with help","Solved unaided"),IF(OR(B388="bq",B388="res",B388="day"),CHOOSE(G388+1,"Not started","Done"),CHOOSE(G388+1,"Not started","In progress","Done"))),"invalid")</f>
      </c>
      <c r="L388" s="1">
        <f>HYPERLINK("https://docs.python.org/3/library/functions.html","Open source")</f>
      </c>
    </row>
    <row r="389">
      <c r="A389" s="1" t="str">
        <v>py-14</v>
      </c>
      <c r="B389" s="1" t="str">
        <v>py</v>
      </c>
      <c r="C389" s="1" t="str">
        <v>Idioms</v>
      </c>
      <c r="D389" s="1">
        <v>2</v>
      </c>
      <c r="E389" s="1" t="str">
        <v>Arrays.copyOfRange / Substring -&gt; Slicing a[i:j], a[::-1], a[::2]</v>
      </c>
      <c r="F389" s="1" t="str">
        <v>Why: Slices copy; know the O(k) cost | Drill: Reverse/rotate arrays with slices only</v>
      </c>
      <c r="G389" s="1">
        <v>0</v>
      </c>
      <c r="H389" s="1">
        <f>IFERROR(IF(B389="dsa",CHOOSE(G389+1,"Not started","Attempted","Solved with help","Solved unaided"),IF(OR(B389="bq",B389="res",B389="day"),CHOOSE(G389+1,"Not started","Done"),CHOOSE(G389+1,"Not started","In progress","Done"))),"invalid")</f>
      </c>
      <c r="L389" s="1">
        <f>HYPERLINK("https://docs.python.org/3/tutorial/introduction.html","Open source")</f>
      </c>
    </row>
    <row r="390">
      <c r="A390" s="1" t="str">
        <v>py-15</v>
      </c>
      <c r="B390" s="1" t="str">
        <v>py</v>
      </c>
      <c r="C390" s="1" t="str">
        <v>Idioms</v>
      </c>
      <c r="D390" s="1">
        <v>2</v>
      </c>
      <c r="E390" s="1" t="str">
        <v>Streams / LINQ -&gt; Comprehensions, map, filter, generators</v>
      </c>
      <c r="F390" s="1" t="str">
        <v>Why: Comprehensions are the idiomatic form | Drill: Convert 10 LINQ/Stream snippets</v>
      </c>
      <c r="G390" s="1">
        <v>0</v>
      </c>
      <c r="H390" s="1">
        <f>IFERROR(IF(B390="dsa",CHOOSE(G390+1,"Not started","Attempted","Solved with help","Solved unaided"),IF(OR(B390="bq",B390="res",B390="day"),CHOOSE(G390+1,"Not started","Done"),CHOOSE(G390+1,"Not started","In progress","Done"))),"invalid")</f>
      </c>
      <c r="L390" s="1">
        <f>HYPERLINK("https://docs.python.org/3/tutorial/datastructures.html","Open source")</f>
      </c>
    </row>
    <row r="391">
      <c r="A391" s="1" t="str">
        <v>py-16</v>
      </c>
      <c r="B391" s="1" t="str">
        <v>py</v>
      </c>
      <c r="C391" s="1" t="str">
        <v>Idioms</v>
      </c>
      <c r="D391" s="1">
        <v>2</v>
      </c>
      <c r="E391" s="1" t="str">
        <v>Multiple return via class/tuple -&gt; Tuple unpacking, a, b = b, a</v>
      </c>
      <c r="F391" s="1" t="str">
        <v>Why: Swap without temp; enables clean two-pointer code | Drill: Use tuple unpacking in 5 solutions</v>
      </c>
      <c r="G391" s="1">
        <v>0</v>
      </c>
      <c r="H391" s="1">
        <f>IFERROR(IF(B391="dsa",CHOOSE(G391+1,"Not started","Attempted","Solved with help","Solved unaided"),IF(OR(B391="bq",B391="res",B391="day"),CHOOSE(G391+1,"Not started","Done"),CHOOSE(G391+1,"Not started","In progress","Done"))),"invalid")</f>
      </c>
      <c r="L391" s="1">
        <f>HYPERLINK("https://docs.python.org/3/tutorial/datastructures.html","Open source")</f>
      </c>
    </row>
    <row r="392">
      <c r="A392" s="1" t="str">
        <v>py-17</v>
      </c>
      <c r="B392" s="1" t="str">
        <v>py</v>
      </c>
      <c r="C392" s="1" t="str">
        <v>Idioms</v>
      </c>
      <c r="D392" s="1">
        <v>2</v>
      </c>
      <c r="E392" s="1" t="str">
        <v>Comparator&lt;T&gt; -&gt; sorted(key=...), functools.cmp_to_key</v>
      </c>
      <c r="F392" s="1" t="str">
        <v>Why: Key functions differ from comparators | Drill: Sort objects 3 different ways</v>
      </c>
      <c r="G392" s="1">
        <v>0</v>
      </c>
      <c r="H392" s="1">
        <f>IFERROR(IF(B392="dsa",CHOOSE(G392+1,"Not started","Attempted","Solved with help","Solved unaided"),IF(OR(B392="bq",B392="res",B392="day"),CHOOSE(G392+1,"Not started","Done"),CHOOSE(G392+1,"Not started","In progress","Done"))),"invalid")</f>
      </c>
      <c r="L392" s="1">
        <f>HYPERLINK("https://docs.python.org/3/howto/sorting.html","Open source")</f>
      </c>
    </row>
    <row r="393">
      <c r="A393" s="1" t="str">
        <v>py-18</v>
      </c>
      <c r="B393" s="1" t="str">
        <v>py</v>
      </c>
      <c r="C393" s="1" t="str">
        <v>OOP</v>
      </c>
      <c r="D393" s="1">
        <v>2</v>
      </c>
      <c r="E393" s="1" t="str">
        <v>class + interface + abstract -&gt; class, ABC, Protocol, duck typing</v>
      </c>
      <c r="F393" s="1" t="str">
        <v>Why: No interfaces; Protocol is the closest analogue | Drill: Rewrite a Java interface hierarchy in Python</v>
      </c>
      <c r="G393" s="1">
        <v>0</v>
      </c>
      <c r="H393" s="1">
        <f>IFERROR(IF(B393="dsa",CHOOSE(G393+1,"Not started","Attempted","Solved with help","Solved unaided"),IF(OR(B393="bq",B393="res",B393="day"),CHOOSE(G393+1,"Not started","Done"),CHOOSE(G393+1,"Not started","In progress","Done"))),"invalid")</f>
      </c>
      <c r="L393" s="1">
        <f>HYPERLINK("https://docs.python.org/3/library/abc.html","Open source")</f>
      </c>
    </row>
    <row r="394">
      <c r="A394" s="1" t="str">
        <v>py-19</v>
      </c>
      <c r="B394" s="1" t="str">
        <v>py</v>
      </c>
      <c r="C394" s="1" t="str">
        <v>OOP</v>
      </c>
      <c r="D394" s="1">
        <v>2</v>
      </c>
      <c r="E394" s="1" t="str">
        <v>Constructor overloading -&gt; Default args, @classmethod factories, *args</v>
      </c>
      <c r="F394" s="1" t="str">
        <v>Why: Python has no method overloading | Drill: Build a class with 3 alternate constructors</v>
      </c>
      <c r="G394" s="1">
        <v>0</v>
      </c>
      <c r="H394" s="1">
        <f>IFERROR(IF(B394="dsa",CHOOSE(G394+1,"Not started","Attempted","Solved with help","Solved unaided"),IF(OR(B394="bq",B394="res",B394="day"),CHOOSE(G394+1,"Not started","Done"),CHOOSE(G394+1,"Not started","In progress","Done"))),"invalid")</f>
      </c>
      <c r="L394" s="1">
        <f>HYPERLINK("https://docs.python.org/3/library/functions.html","Open source")</f>
      </c>
    </row>
    <row r="395">
      <c r="A395" s="1" t="str">
        <v>py-20</v>
      </c>
      <c r="B395" s="1" t="str">
        <v>py</v>
      </c>
      <c r="C395" s="1" t="str">
        <v>OOP</v>
      </c>
      <c r="D395" s="1">
        <v>2</v>
      </c>
      <c r="E395" s="1" t="str">
        <v>Getters/setters, C# properties -&gt; @property, @x.setter</v>
      </c>
      <c r="F395" s="1" t="str">
        <v>Why: Direct attribute access is normal | Drill: Convert a POJO to a dataclass</v>
      </c>
      <c r="G395" s="1">
        <v>0</v>
      </c>
      <c r="H395" s="1">
        <f>IFERROR(IF(B395="dsa",CHOOSE(G395+1,"Not started","Attempted","Solved with help","Solved unaided"),IF(OR(B395="bq",B395="res",B395="day"),CHOOSE(G395+1,"Not started","Done"),CHOOSE(G395+1,"Not started","In progress","Done"))),"invalid")</f>
      </c>
      <c r="L395" s="1">
        <f>HYPERLINK("https://docs.python.org/3/library/functions.html","Open source")</f>
      </c>
    </row>
    <row r="396">
      <c r="A396" s="1" t="str">
        <v>py-21</v>
      </c>
      <c r="B396" s="1" t="str">
        <v>py</v>
      </c>
      <c r="C396" s="1" t="str">
        <v>OOP</v>
      </c>
      <c r="D396" s="1">
        <v>2</v>
      </c>
      <c r="E396" s="1" t="str">
        <v>equals/hashCode, toString, IComparable -&gt; __eq__, __hash__, __repr__, __lt__</v>
      </c>
      <c r="F396" s="1" t="str">
        <v>Why: Needed for set/dict membership and heaps | Drill: Make a custom class heap-sortable</v>
      </c>
      <c r="G396" s="1">
        <v>0</v>
      </c>
      <c r="H396" s="1">
        <f>IFERROR(IF(B396="dsa",CHOOSE(G396+1,"Not started","Attempted","Solved with help","Solved unaided"),IF(OR(B396="bq",B396="res",B396="day"),CHOOSE(G396+1,"Not started","Done"),CHOOSE(G396+1,"Not started","In progress","Done"))),"invalid")</f>
      </c>
      <c r="L396" s="1">
        <f>HYPERLINK("https://docs.python.org/3/reference/datamodel.html","Open source")</f>
      </c>
    </row>
    <row r="397">
      <c r="A397" s="1" t="str">
        <v>py-22</v>
      </c>
      <c r="B397" s="1" t="str">
        <v>py</v>
      </c>
      <c r="C397" s="1" t="str">
        <v>OOP</v>
      </c>
      <c r="D397" s="1">
        <v>2</v>
      </c>
      <c r="E397" s="1" t="str">
        <v>POJO / record / C# record -&gt; @dataclass, NamedTuple</v>
      </c>
      <c r="F397" s="1" t="str">
        <v>Why: Fastest way to model LLD entities | Drill: Redo one LLD design with dataclasses</v>
      </c>
      <c r="G397" s="1">
        <v>0</v>
      </c>
      <c r="H397" s="1">
        <f>IFERROR(IF(B397="dsa",CHOOSE(G397+1,"Not started","Attempted","Solved with help","Solved unaided"),IF(OR(B397="bq",B397="res",B397="day"),CHOOSE(G397+1,"Not started","Done"),CHOOSE(G397+1,"Not started","In progress","Done"))),"invalid")</f>
      </c>
      <c r="L397" s="1">
        <f>HYPERLINK("https://docs.python.org/3/library/dataclasses.html","Open source")</f>
      </c>
    </row>
    <row r="398">
      <c r="A398" s="1" t="str">
        <v>py-23</v>
      </c>
      <c r="B398" s="1" t="str">
        <v>py</v>
      </c>
      <c r="C398" s="1" t="str">
        <v>OOP</v>
      </c>
      <c r="D398" s="1">
        <v>2</v>
      </c>
      <c r="E398" s="1" t="str">
        <v>static / final -&gt; @staticmethod, module-level, ALL_CAPS convention</v>
      </c>
      <c r="F398" s="1" t="str">
        <v>Why: Python has no true constants | Drill: Refactor a utility class</v>
      </c>
      <c r="G398" s="1">
        <v>0</v>
      </c>
      <c r="H398" s="1">
        <f>IFERROR(IF(B398="dsa",CHOOSE(G398+1,"Not started","Attempted","Solved with help","Solved unaided"),IF(OR(B398="bq",B398="res",B398="day"),CHOOSE(G398+1,"Not started","Done"),CHOOSE(G398+1,"Not started","In progress","Done"))),"invalid")</f>
      </c>
      <c r="L398" s="1">
        <f>HYPERLINK("https://docs.python.org/3/library/functions.html","Open source")</f>
      </c>
    </row>
    <row r="399">
      <c r="A399" s="1" t="str">
        <v>py-24</v>
      </c>
      <c r="B399" s="1" t="str">
        <v>py</v>
      </c>
      <c r="C399" s="1" t="str">
        <v>Language</v>
      </c>
      <c r="D399" s="1">
        <v>3</v>
      </c>
      <c r="E399" s="1" t="str">
        <v>Iterator / IEnumerable, yield return -&gt; Iterators, generators, yield</v>
      </c>
      <c r="F399" s="1" t="str">
        <v>Why: Generators are central to idiomatic Python | Drill: Write a generator-based in-order traversal</v>
      </c>
      <c r="G399" s="1">
        <v>0</v>
      </c>
      <c r="H399" s="1">
        <f>IFERROR(IF(B399="dsa",CHOOSE(G399+1,"Not started","Attempted","Solved with help","Solved unaided"),IF(OR(B399="bq",B399="res",B399="day"),CHOOSE(G399+1,"Not started","Done"),CHOOSE(G399+1,"Not started","In progress","Done"))),"invalid")</f>
      </c>
      <c r="L399" s="1">
        <f>HYPERLINK("https://docs.python.org/3/tutorial/classes.html","Open source")</f>
      </c>
    </row>
    <row r="400">
      <c r="A400" s="1" t="str">
        <v>py-25</v>
      </c>
      <c r="B400" s="1" t="str">
        <v>py</v>
      </c>
      <c r="C400" s="1" t="str">
        <v>Language</v>
      </c>
      <c r="D400" s="1">
        <v>3</v>
      </c>
      <c r="E400" s="1" t="str">
        <v>Checked exceptions, try/catch/finally -&gt; try/except/else/finally, no checked exceptions</v>
      </c>
      <c r="F400" s="1" t="str">
        <v>Why: Different error-handling culture (EAFP) | Drill: Rewrite defensive null checks as try/except</v>
      </c>
      <c r="G400" s="1">
        <v>0</v>
      </c>
      <c r="H400" s="1">
        <f>IFERROR(IF(B400="dsa",CHOOSE(G400+1,"Not started","Attempted","Solved with help","Solved unaided"),IF(OR(B400="bq",B400="res",B400="day"),CHOOSE(G400+1,"Not started","Done"),CHOOSE(G400+1,"Not started","In progress","Done"))),"invalid")</f>
      </c>
      <c r="L400" s="1">
        <f>HYPERLINK("https://docs.python.org/3/tutorial/errors.html","Open source")</f>
      </c>
    </row>
    <row r="401">
      <c r="A401" s="1" t="str">
        <v>py-26</v>
      </c>
      <c r="B401" s="1" t="str">
        <v>py</v>
      </c>
      <c r="C401" s="1" t="str">
        <v>Language</v>
      </c>
      <c r="D401" s="1">
        <v>3</v>
      </c>
      <c r="E401" s="1" t="str">
        <v>try-with-resources / using -&gt; with statement, contextlib</v>
      </c>
      <c r="F401" s="1" t="str">
        <v>Why: Cleaner resource handling | Drill: Write a custom context manager</v>
      </c>
      <c r="G401" s="1">
        <v>0</v>
      </c>
      <c r="H401" s="1">
        <f>IFERROR(IF(B401="dsa",CHOOSE(G401+1,"Not started","Attempted","Solved with help","Solved unaided"),IF(OR(B401="bq",B401="res",B401="day"),CHOOSE(G401+1,"Not started","Done"),CHOOSE(G401+1,"Not started","In progress","Done"))),"invalid")</f>
      </c>
      <c r="L401" s="1">
        <f>HYPERLINK("https://docs.python.org/3/library/contextlib.html","Open source")</f>
      </c>
    </row>
    <row r="402">
      <c r="A402" s="1" t="str">
        <v>py-27</v>
      </c>
      <c r="B402" s="1" t="str">
        <v>py</v>
      </c>
      <c r="C402" s="1" t="str">
        <v>Language</v>
      </c>
      <c r="D402" s="1">
        <v>3</v>
      </c>
      <c r="E402" s="1" t="str">
        <v>Generics &lt;T&gt; -&gt; typing: List[int], Optional, TypeVar</v>
      </c>
      <c r="F402" s="1" t="str">
        <v>Why: Type hints are optional but expected in good code | Drill: Add type hints to 10 solutions; run mypy</v>
      </c>
      <c r="G402" s="1">
        <v>0</v>
      </c>
      <c r="H402" s="1">
        <f>IFERROR(IF(B402="dsa",CHOOSE(G402+1,"Not started","Attempted","Solved with help","Solved unaided"),IF(OR(B402="bq",B402="res",B402="day"),CHOOSE(G402+1,"Not started","Done"),CHOOSE(G402+1,"Not started","In progress","Done"))),"invalid")</f>
      </c>
      <c r="L402" s="1">
        <f>HYPERLINK("https://docs.python.org/3/library/typing.html","Open source")</f>
      </c>
    </row>
    <row r="403">
      <c r="A403" s="1" t="str">
        <v>py-28</v>
      </c>
      <c r="B403" s="1" t="str">
        <v>py</v>
      </c>
      <c r="C403" s="1" t="str">
        <v>Language</v>
      </c>
      <c r="D403" s="1">
        <v>3</v>
      </c>
      <c r="E403" s="1" t="str">
        <v>Recursion (deep stacks ok) -&gt; sys.setrecursionlimit; default ~1000</v>
      </c>
      <c r="F403" s="1" t="str">
        <v>Why: Deep recursion crashes; know when to go iterative | Drill: Convert a deep DFS to an explicit stack</v>
      </c>
      <c r="G403" s="1">
        <v>0</v>
      </c>
      <c r="H403" s="1">
        <f>IFERROR(IF(B403="dsa",CHOOSE(G403+1,"Not started","Attempted","Solved with help","Solved unaided"),IF(OR(B403="bq",B403="res",B403="day"),CHOOSE(G403+1,"Not started","Done"),CHOOSE(G403+1,"Not started","In progress","Done"))),"invalid")</f>
      </c>
      <c r="L403" s="1">
        <f>HYPERLINK("https://docs.python.org/3/library/sys.html","Open source")</f>
      </c>
    </row>
    <row r="404">
      <c r="A404" s="1" t="str">
        <v>py-29</v>
      </c>
      <c r="B404" s="1" t="str">
        <v>py</v>
      </c>
      <c r="C404" s="1" t="str">
        <v>Traps</v>
      </c>
      <c r="D404" s="1">
        <v>3</v>
      </c>
      <c r="E404" s="1" t="str">
        <v>Pass by value / reference semantics -&gt; Everything is a reference; mutable default args</v>
      </c>
      <c r="F404" s="1" t="str">
        <v>Why: def f(x=[]) is a classic bug | Drill: Reproduce the mutable-default bug, then fix it</v>
      </c>
      <c r="G404" s="1">
        <v>0</v>
      </c>
      <c r="H404" s="1">
        <f>IFERROR(IF(B404="dsa",CHOOSE(G404+1,"Not started","Attempted","Solved with help","Solved unaided"),IF(OR(B404="bq",B404="res",B404="day"),CHOOSE(G404+1,"Not started","Done"),CHOOSE(G404+1,"Not started","In progress","Done"))),"invalid")</f>
      </c>
      <c r="L404" s="1">
        <f>HYPERLINK("https://docs.python.org/3/faq/programming.html","Open source")</f>
      </c>
    </row>
    <row r="405">
      <c r="A405" s="1" t="str">
        <v>py-30</v>
      </c>
      <c r="B405" s="1" t="str">
        <v>py</v>
      </c>
      <c r="C405" s="1" t="str">
        <v>Traps</v>
      </c>
      <c r="D405" s="1">
        <v>3</v>
      </c>
      <c r="E405" s="1" t="str">
        <v>Object clone / ICloneable -&gt; copy.copy vs copy.deepcopy vs a[:]</v>
      </c>
      <c r="F405" s="1" t="str">
        <v>Why: Backtracking bugs come from shallow copies | Drill: Break then fix a backtracking solution</v>
      </c>
      <c r="G405" s="1">
        <v>0</v>
      </c>
      <c r="H405" s="1">
        <f>IFERROR(IF(B405="dsa",CHOOSE(G405+1,"Not started","Attempted","Solved with help","Solved unaided"),IF(OR(B405="bq",B405="res",B405="day"),CHOOSE(G405+1,"Not started","Done"),CHOOSE(G405+1,"Not started","In progress","Done"))),"invalid")</f>
      </c>
      <c r="L405" s="1">
        <f>HYPERLINK("https://docs.python.org/3/library/copy.html","Open source")</f>
      </c>
    </row>
    <row r="406">
      <c r="A406" s="1" t="str">
        <v>py-31</v>
      </c>
      <c r="B406" s="1" t="str">
        <v>py</v>
      </c>
      <c r="C406" s="1" t="str">
        <v>Tooling</v>
      </c>
      <c r="D406" s="1">
        <v>3</v>
      </c>
      <c r="E406" s="1" t="str">
        <v>JUnit / NUnit -&gt; pytest, assert</v>
      </c>
      <c r="F406" s="1" t="str">
        <v>Why: Fast self-testing during practice | Drill: Write pytest cases for 5 solutions</v>
      </c>
      <c r="G406" s="1">
        <v>0</v>
      </c>
      <c r="H406" s="1">
        <f>IFERROR(IF(B406="dsa",CHOOSE(G406+1,"Not started","Attempted","Solved with help","Solved unaided"),IF(OR(B406="bq",B406="res",B406="day"),CHOOSE(G406+1,"Not started","Done"),CHOOSE(G406+1,"Not started","In progress","Done"))),"invalid")</f>
      </c>
      <c r="L406" s="1">
        <f>HYPERLINK("https://docs.pytest.org/","Open source")</f>
      </c>
    </row>
    <row r="407">
      <c r="A407" s="1" t="str">
        <v>py-32</v>
      </c>
      <c r="B407" s="1" t="str">
        <v>py</v>
      </c>
      <c r="C407" s="1" t="str">
        <v>Tooling</v>
      </c>
      <c r="D407" s="1">
        <v>3</v>
      </c>
      <c r="E407" s="1" t="str">
        <v>Maven/Gradle/NuGet -&gt; pip, venv, pyproject.toml</v>
      </c>
      <c r="F407" s="1" t="str">
        <v>Why: Set up a clean practice repo | Drill: Create a repo with venv + pytest + mypy</v>
      </c>
      <c r="G407" s="1">
        <v>0</v>
      </c>
      <c r="H407" s="1">
        <f>IFERROR(IF(B407="dsa",CHOOSE(G407+1,"Not started","Attempted","Solved with help","Solved unaided"),IF(OR(B407="bq",B407="res",B407="day"),CHOOSE(G407+1,"Not started","Done"),CHOOSE(G407+1,"Not started","In progress","Done"))),"invalid")</f>
      </c>
      <c r="L407" s="1">
        <f>HYPERLINK("https://docs.python.org/3/library/venv.html","Open source")</f>
      </c>
    </row>
    <row r="408">
      <c r="A408" s="1" t="str">
        <v>py-33</v>
      </c>
      <c r="B408" s="1" t="str">
        <v>py</v>
      </c>
      <c r="C408" s="1" t="str">
        <v>Performance</v>
      </c>
      <c r="D408" s="1">
        <v>3</v>
      </c>
      <c r="E408" s="1" t="str">
        <v>Primitive arrays, JIT -&gt; Python is ~10-50x slower; use built-ins</v>
      </c>
      <c r="F408" s="1" t="str">
        <v>Why: Some accepted Java solutions TLE in Python | Drill: Find one problem where naive Python TLEs; fix it</v>
      </c>
      <c r="G408" s="1">
        <v>0</v>
      </c>
      <c r="H408" s="1">
        <f>IFERROR(IF(B408="dsa",CHOOSE(G408+1,"Not started","Attempted","Solved with help","Solved unaided"),IF(OR(B408="bq",B408="res",B408="day"),CHOOSE(G408+1,"Not started","Done"),CHOOSE(G408+1,"Not started","In progress","Done"))),"invalid")</f>
      </c>
      <c r="L408" s="1">
        <f>HYPERLINK("https://docs.python.org/3/library/timeit.html","Open source")</f>
      </c>
    </row>
    <row r="409">
      <c r="A409" s="1" t="str">
        <v>py-34</v>
      </c>
      <c r="B409" s="1" t="str">
        <v>py</v>
      </c>
      <c r="C409" s="1" t="str">
        <v>Performance</v>
      </c>
      <c r="D409" s="1">
        <v>3</v>
      </c>
      <c r="E409" s="1" t="str">
        <v>N/A -&gt; functools.lru_cache / cache</v>
      </c>
      <c r="F409" s="1" t="str">
        <v>Why: Turns exponential recursion into DP for free | Drill: Memoize 3 recursive solutions with one decorator</v>
      </c>
      <c r="G409" s="1">
        <v>0</v>
      </c>
      <c r="H409" s="1">
        <f>IFERROR(IF(B409="dsa",CHOOSE(G409+1,"Not started","Attempted","Solved with help","Solved unaided"),IF(OR(B409="bq",B409="res",B409="day"),CHOOSE(G409+1,"Not started","Done"),CHOOSE(G409+1,"Not started","In progress","Done"))),"invalid")</f>
      </c>
      <c r="L409" s="1">
        <f>HYPERLINK("https://docs.python.org/3/library/functools.html","Open source")</f>
      </c>
    </row>
    <row r="410">
      <c r="A410" s="1" t="str">
        <v>sd-1</v>
      </c>
      <c r="B410" s="1" t="str">
        <v>sd</v>
      </c>
      <c r="C410" s="1" t="str">
        <v>Fundamental</v>
      </c>
      <c r="D410" s="1">
        <v>7</v>
      </c>
      <c r="E410" s="1" t="str">
        <v>Estimation &amp; napkin math</v>
      </c>
      <c r="F410" s="1" t="str">
        <v>Latency numbers, QPS, storage, bandwidth, 80/20 rule | Source: Hello Interview / Alex Xu Vol 1 Ch.2</v>
      </c>
      <c r="G410" s="1">
        <v>0</v>
      </c>
      <c r="H410" s="1">
        <f>IFERROR(IF(B410="dsa",CHOOSE(G410+1,"Not started","Attempted","Solved with help","Solved unaided"),IF(OR(B410="bq",B410="res",B410="day"),CHOOSE(G410+1,"Not started","Done"),CHOOSE(G410+1,"Not started","In progress","Done"))),"invalid")</f>
      </c>
      <c r="L410" s="1">
        <f>HYPERLINK("https://bytebytego.com/","Open source")</f>
      </c>
    </row>
    <row r="411">
      <c r="A411" s="1" t="str">
        <v>sd-2</v>
      </c>
      <c r="B411" s="1" t="str">
        <v>sd</v>
      </c>
      <c r="C411" s="1" t="str">
        <v>Fundamental</v>
      </c>
      <c r="D411" s="1">
        <v>7</v>
      </c>
      <c r="E411" s="1" t="str">
        <v>Networking basics</v>
      </c>
      <c r="F411" s="1" t="str">
        <v>TCP vs UDP, HTTP/1.1 vs 2 vs 3, gRPC, WebSocket, long polling, SSE | Source: System Design Primer (GitHub)</v>
      </c>
      <c r="G411" s="1">
        <v>0</v>
      </c>
      <c r="H411" s="1">
        <f>IFERROR(IF(B411="dsa",CHOOSE(G411+1,"Not started","Attempted","Solved with help","Solved unaided"),IF(OR(B411="bq",B411="res",B411="day"),CHOOSE(G411+1,"Not started","Done"),CHOOSE(G411+1,"Not started","In progress","Done"))),"invalid")</f>
      </c>
      <c r="L411" s="1">
        <f>HYPERLINK("https://github.com/donnemartin/system-design-primer","Open source")</f>
      </c>
    </row>
    <row r="412">
      <c r="A412" s="1" t="str">
        <v>sd-3</v>
      </c>
      <c r="B412" s="1" t="str">
        <v>sd</v>
      </c>
      <c r="C412" s="1" t="str">
        <v>Fundamental</v>
      </c>
      <c r="D412" s="1">
        <v>7</v>
      </c>
      <c r="E412" s="1" t="str">
        <v>APIs &amp; contracts</v>
      </c>
      <c r="F412" s="1" t="str">
        <v>REST vs RPC, idempotency, pagination, versioning, rate limits | Source: Alex Xu Vol 1</v>
      </c>
      <c r="G412" s="1">
        <v>0</v>
      </c>
      <c r="H412" s="1">
        <f>IFERROR(IF(B412="dsa",CHOOSE(G412+1,"Not started","Attempted","Solved with help","Solved unaided"),IF(OR(B412="bq",B412="res",B412="day"),CHOOSE(G412+1,"Not started","Done"),CHOOSE(G412+1,"Not started","In progress","Done"))),"invalid")</f>
      </c>
      <c r="L412" s="1">
        <f>HYPERLINK("https://bytebytego.com/","Open source")</f>
      </c>
    </row>
    <row r="413">
      <c r="A413" s="1" t="str">
        <v>sd-4</v>
      </c>
      <c r="B413" s="1" t="str">
        <v>sd</v>
      </c>
      <c r="C413" s="1" t="str">
        <v>Fundamental</v>
      </c>
      <c r="D413" s="1">
        <v>8</v>
      </c>
      <c r="E413" s="1" t="str">
        <v>SQL vs NoSQL</v>
      </c>
      <c r="F413" s="1" t="str">
        <v>Relational, KV, document, wide-column, graph; when each wins | Source: DDIA Ch.2-3</v>
      </c>
      <c r="G413" s="1">
        <v>0</v>
      </c>
      <c r="H413" s="1">
        <f>IFERROR(IF(B413="dsa",CHOOSE(G413+1,"Not started","Attempted","Solved with help","Solved unaided"),IF(OR(B413="bq",B413="res",B413="day"),CHOOSE(G413+1,"Not started","Done"),CHOOSE(G413+1,"Not started","In progress","Done"))),"invalid")</f>
      </c>
      <c r="L413" s="1">
        <f>HYPERLINK("https://dataintensive.net/","Open source")</f>
      </c>
    </row>
    <row r="414">
      <c r="A414" s="1" t="str">
        <v>sd-5</v>
      </c>
      <c r="B414" s="1" t="str">
        <v>sd</v>
      </c>
      <c r="C414" s="1" t="str">
        <v>Fundamental</v>
      </c>
      <c r="D414" s="1">
        <v>8</v>
      </c>
      <c r="E414" s="1" t="str">
        <v>Indexing &amp; storage engines</v>
      </c>
      <c r="F414" s="1" t="str">
        <v>B-tree vs LSM-tree, write vs read amplification | Source: DDIA Ch.3</v>
      </c>
      <c r="G414" s="1">
        <v>0</v>
      </c>
      <c r="H414" s="1">
        <f>IFERROR(IF(B414="dsa",CHOOSE(G414+1,"Not started","Attempted","Solved with help","Solved unaided"),IF(OR(B414="bq",B414="res",B414="day"),CHOOSE(G414+1,"Not started","Done"),CHOOSE(G414+1,"Not started","In progress","Done"))),"invalid")</f>
      </c>
      <c r="L414" s="1">
        <f>HYPERLINK("https://dataintensive.net/","Open source")</f>
      </c>
    </row>
    <row r="415">
      <c r="A415" s="1" t="str">
        <v>sd-6</v>
      </c>
      <c r="B415" s="1" t="str">
        <v>sd</v>
      </c>
      <c r="C415" s="1" t="str">
        <v>Fundamental</v>
      </c>
      <c r="D415" s="1">
        <v>8</v>
      </c>
      <c r="E415" s="1" t="str">
        <v>Replication</v>
      </c>
      <c r="F415" s="1" t="str">
        <v>Leader-follower, multi-leader, leaderless, replication lag | Source: DDIA Ch.5</v>
      </c>
      <c r="G415" s="1">
        <v>0</v>
      </c>
      <c r="H415" s="1">
        <f>IFERROR(IF(B415="dsa",CHOOSE(G415+1,"Not started","Attempted","Solved with help","Solved unaided"),IF(OR(B415="bq",B415="res",B415="day"),CHOOSE(G415+1,"Not started","Done"),CHOOSE(G415+1,"Not started","In progress","Done"))),"invalid")</f>
      </c>
      <c r="L415" s="1">
        <f>HYPERLINK("https://dataintensive.net/","Open source")</f>
      </c>
    </row>
    <row r="416">
      <c r="A416" s="1" t="str">
        <v>sd-7</v>
      </c>
      <c r="B416" s="1" t="str">
        <v>sd</v>
      </c>
      <c r="C416" s="1" t="str">
        <v>Fundamental</v>
      </c>
      <c r="D416" s="1">
        <v>8</v>
      </c>
      <c r="E416" s="1" t="str">
        <v>Transactions &amp; consistency</v>
      </c>
      <c r="F416" s="1" t="str">
        <v>ACID, isolation levels, CAP, PACELC, eventual consistency | Source: DDIA Ch.7 + Ch.9</v>
      </c>
      <c r="G416" s="1">
        <v>0</v>
      </c>
      <c r="H416" s="1">
        <f>IFERROR(IF(B416="dsa",CHOOSE(G416+1,"Not started","Attempted","Solved with help","Solved unaided"),IF(OR(B416="bq",B416="res",B416="day"),CHOOSE(G416+1,"Not started","Done"),CHOOSE(G416+1,"Not started","In progress","Done"))),"invalid")</f>
      </c>
      <c r="L416" s="1">
        <f>HYPERLINK("https://dataintensive.net/","Open source")</f>
      </c>
    </row>
    <row r="417">
      <c r="A417" s="1" t="str">
        <v>sd-8</v>
      </c>
      <c r="B417" s="1" t="str">
        <v>sd</v>
      </c>
      <c r="C417" s="1" t="str">
        <v>Fundamental</v>
      </c>
      <c r="D417" s="1">
        <v>9</v>
      </c>
      <c r="E417" s="1" t="str">
        <v>Caching</v>
      </c>
      <c r="F417" s="1" t="str">
        <v>Cache-aside, write-through, write-back, TTL, eviction, thundering herd | Source: Alex Xu Vol 1 Ch.1</v>
      </c>
      <c r="G417" s="1">
        <v>0</v>
      </c>
      <c r="H417" s="1">
        <f>IFERROR(IF(B417="dsa",CHOOSE(G417+1,"Not started","Attempted","Solved with help","Solved unaided"),IF(OR(B417="bq",B417="res",B417="day"),CHOOSE(G417+1,"Not started","Done"),CHOOSE(G417+1,"Not started","In progress","Done"))),"invalid")</f>
      </c>
      <c r="L417" s="1">
        <f>HYPERLINK("https://bytebytego.com/","Open source")</f>
      </c>
    </row>
    <row r="418">
      <c r="A418" s="1" t="str">
        <v>sd-9</v>
      </c>
      <c r="B418" s="1" t="str">
        <v>sd</v>
      </c>
      <c r="C418" s="1" t="str">
        <v>Fundamental</v>
      </c>
      <c r="D418" s="1">
        <v>9</v>
      </c>
      <c r="E418" s="1" t="str">
        <v>Load balancing &amp; CDN</v>
      </c>
      <c r="F418" s="1" t="str">
        <v>L4 vs L7, health checks, sticky sessions, edge caching | Source: System Design Primer</v>
      </c>
      <c r="G418" s="1">
        <v>0</v>
      </c>
      <c r="H418" s="1">
        <f>IFERROR(IF(B418="dsa",CHOOSE(G418+1,"Not started","Attempted","Solved with help","Solved unaided"),IF(OR(B418="bq",B418="res",B418="day"),CHOOSE(G418+1,"Not started","Done"),CHOOSE(G418+1,"Not started","In progress","Done"))),"invalid")</f>
      </c>
      <c r="L418" s="1">
        <f>HYPERLINK("https://github.com/donnemartin/system-design-primer","Open source")</f>
      </c>
    </row>
    <row r="419">
      <c r="A419" s="1" t="str">
        <v>sd-10</v>
      </c>
      <c r="B419" s="1" t="str">
        <v>sd</v>
      </c>
      <c r="C419" s="1" t="str">
        <v>Fundamental</v>
      </c>
      <c r="D419" s="1">
        <v>10</v>
      </c>
      <c r="E419" s="1" t="str">
        <v>Sharding &amp; partitioning</v>
      </c>
      <c r="F419" s="1" t="str">
        <v>Range vs hash, consistent hashing, hot keys, rebalancing | Source: DDIA Ch.6</v>
      </c>
      <c r="G419" s="1">
        <v>0</v>
      </c>
      <c r="H419" s="1">
        <f>IFERROR(IF(B419="dsa",CHOOSE(G419+1,"Not started","Attempted","Solved with help","Solved unaided"),IF(OR(B419="bq",B419="res",B419="day"),CHOOSE(G419+1,"Not started","Done"),CHOOSE(G419+1,"Not started","In progress","Done"))),"invalid")</f>
      </c>
      <c r="L419" s="1">
        <f>HYPERLINK("https://dataintensive.net/","Open source")</f>
      </c>
    </row>
    <row r="420">
      <c r="A420" s="1" t="str">
        <v>sd-11</v>
      </c>
      <c r="B420" s="1" t="str">
        <v>sd</v>
      </c>
      <c r="C420" s="1" t="str">
        <v>Fundamental</v>
      </c>
      <c r="D420" s="1">
        <v>11</v>
      </c>
      <c r="E420" s="1" t="str">
        <v>Message queues &amp; streaming</v>
      </c>
      <c r="F420" s="1" t="str">
        <v>Kafka, pub/sub, at-least-once vs exactly-once, backpressure, DLQ | Source: DDIA Ch.11</v>
      </c>
      <c r="G420" s="1">
        <v>0</v>
      </c>
      <c r="H420" s="1">
        <f>IFERROR(IF(B420="dsa",CHOOSE(G420+1,"Not started","Attempted","Solved with help","Solved unaided"),IF(OR(B420="bq",B420="res",B420="day"),CHOOSE(G420+1,"Not started","Done"),CHOOSE(G420+1,"Not started","In progress","Done"))),"invalid")</f>
      </c>
      <c r="L420" s="1">
        <f>HYPERLINK("https://dataintensive.net/","Open source")</f>
      </c>
    </row>
    <row r="421">
      <c r="A421" s="1" t="str">
        <v>sd-12</v>
      </c>
      <c r="B421" s="1" t="str">
        <v>sd</v>
      </c>
      <c r="C421" s="1" t="str">
        <v>Fundamental</v>
      </c>
      <c r="D421" s="1">
        <v>11</v>
      </c>
      <c r="E421" s="1" t="str">
        <v>Coordination &amp; consensus</v>
      </c>
      <c r="F421" s="1" t="str">
        <v>Leader election, Paxos/Raft at a high level, ZooKeeper, distributed locks | Source: DDIA Ch.8-9</v>
      </c>
      <c r="G421" s="1">
        <v>0</v>
      </c>
      <c r="H421" s="1">
        <f>IFERROR(IF(B421="dsa",CHOOSE(G421+1,"Not started","Attempted","Solved with help","Solved unaided"),IF(OR(B421="bq",B421="res",B421="day"),CHOOSE(G421+1,"Not started","Done"),CHOOSE(G421+1,"Not started","In progress","Done"))),"invalid")</f>
      </c>
      <c r="L421" s="1">
        <f>HYPERLINK("https://dataintensive.net/","Open source")</f>
      </c>
    </row>
    <row r="422">
      <c r="A422" s="1" t="str">
        <v>sd-13</v>
      </c>
      <c r="B422" s="1" t="str">
        <v>sd</v>
      </c>
      <c r="C422" s="1" t="str">
        <v>Fundamental</v>
      </c>
      <c r="D422" s="1">
        <v>11</v>
      </c>
      <c r="E422" s="1" t="str">
        <v>Observability &amp; reliability</v>
      </c>
      <c r="F422" s="1" t="str">
        <v>Metrics, logging, tracing, SLO/SLI, circuit breakers, retries with jitter | Source: Google SRE Book (free online)</v>
      </c>
      <c r="G422" s="1">
        <v>0</v>
      </c>
      <c r="H422" s="1">
        <f>IFERROR(IF(B422="dsa",CHOOSE(G422+1,"Not started","Attempted","Solved with help","Solved unaided"),IF(OR(B422="bq",B422="res",B422="day"),CHOOSE(G422+1,"Not started","Done"),CHOOSE(G422+1,"Not started","In progress","Done"))),"invalid")</f>
      </c>
      <c r="L422" s="1">
        <f>HYPERLINK("https://sre.google/books/","Open source")</f>
      </c>
    </row>
    <row r="423">
      <c r="A423" s="1" t="str">
        <v>sd-14</v>
      </c>
      <c r="B423" s="1" t="str">
        <v>sd</v>
      </c>
      <c r="C423" s="1" t="str">
        <v>Fundamental</v>
      </c>
      <c r="D423" s="1">
        <v>11</v>
      </c>
      <c r="E423" s="1" t="str">
        <v>Security basics</v>
      </c>
      <c r="F423" s="1" t="str">
        <v>AuthN vs AuthZ, OAuth2, JWT, TLS, rate limiting abuse | Source: System Design Primer</v>
      </c>
      <c r="G423" s="1">
        <v>0</v>
      </c>
      <c r="H423" s="1">
        <f>IFERROR(IF(B423="dsa",CHOOSE(G423+1,"Not started","Attempted","Solved with help","Solved unaided"),IF(OR(B423="bq",B423="res",B423="day"),CHOOSE(G423+1,"Not started","Done"),CHOOSE(G423+1,"Not started","In progress","Done"))),"invalid")</f>
      </c>
      <c r="L423" s="1">
        <f>HYPERLINK("https://github.com/donnemartin/system-design-primer","Open source")</f>
      </c>
    </row>
    <row r="424">
      <c r="A424" s="1" t="str">
        <v>sd-15</v>
      </c>
      <c r="B424" s="1" t="str">
        <v>sd</v>
      </c>
      <c r="C424" s="1" t="str">
        <v>Case Study</v>
      </c>
      <c r="D424" s="1">
        <v>12</v>
      </c>
      <c r="E424" s="1" t="str">
        <v>CASE 1: URL shortener</v>
      </c>
      <c r="F424" s="1" t="str">
        <v>Key generation, collision, redirect path, analytics, cache | Source: Alex Xu Vol 1 Ch.8</v>
      </c>
      <c r="G424" s="1">
        <v>0</v>
      </c>
      <c r="H424" s="1">
        <f>IFERROR(IF(B424="dsa",CHOOSE(G424+1,"Not started","Attempted","Solved with help","Solved unaided"),IF(OR(B424="bq",B424="res",B424="day"),CHOOSE(G424+1,"Not started","Done"),CHOOSE(G424+1,"Not started","In progress","Done"))),"invalid")</f>
      </c>
      <c r="L424" s="1">
        <f>HYPERLINK("https://bytebytego.com/","Open source")</f>
      </c>
    </row>
    <row r="425">
      <c r="A425" s="1" t="str">
        <v>sd-16</v>
      </c>
      <c r="B425" s="1" t="str">
        <v>sd</v>
      </c>
      <c r="C425" s="1" t="str">
        <v>Case Study</v>
      </c>
      <c r="D425" s="1">
        <v>12</v>
      </c>
      <c r="E425" s="1" t="str">
        <v>CASE 2: Distributed rate limiter</v>
      </c>
      <c r="F425" s="1" t="str">
        <v>Token bucket vs sliding window, where to enforce, shared state | Source: Alex Xu Vol 1 Ch.4</v>
      </c>
      <c r="G425" s="1">
        <v>0</v>
      </c>
      <c r="H425" s="1">
        <f>IFERROR(IF(B425="dsa",CHOOSE(G425+1,"Not started","Attempted","Solved with help","Solved unaided"),IF(OR(B425="bq",B425="res",B425="day"),CHOOSE(G425+1,"Not started","Done"),CHOOSE(G425+1,"Not started","In progress","Done"))),"invalid")</f>
      </c>
      <c r="L425" s="1">
        <f>HYPERLINK("https://bytebytego.com/","Open source")</f>
      </c>
    </row>
    <row r="426">
      <c r="A426" s="1" t="str">
        <v>sd-17</v>
      </c>
      <c r="B426" s="1" t="str">
        <v>sd</v>
      </c>
      <c r="C426" s="1" t="str">
        <v>Case Study</v>
      </c>
      <c r="D426" s="1">
        <v>13</v>
      </c>
      <c r="E426" s="1" t="str">
        <v>CASE 3: News feed / timeline</v>
      </c>
      <c r="F426" s="1" t="str">
        <v>Fan-out on write vs read, celebrity problem, ranking | Source: Alex Xu Vol 1 Ch.11</v>
      </c>
      <c r="G426" s="1">
        <v>0</v>
      </c>
      <c r="H426" s="1">
        <f>IFERROR(IF(B426="dsa",CHOOSE(G426+1,"Not started","Attempted","Solved with help","Solved unaided"),IF(OR(B426="bq",B426="res",B426="day"),CHOOSE(G426+1,"Not started","Done"),CHOOSE(G426+1,"Not started","In progress","Done"))),"invalid")</f>
      </c>
      <c r="L426" s="1">
        <f>HYPERLINK("https://bytebytego.com/","Open source")</f>
      </c>
    </row>
    <row r="427">
      <c r="A427" s="1" t="str">
        <v>sd-18</v>
      </c>
      <c r="B427" s="1" t="str">
        <v>sd</v>
      </c>
      <c r="C427" s="1" t="str">
        <v>Case Study</v>
      </c>
      <c r="D427" s="1">
        <v>14</v>
      </c>
      <c r="E427" s="1" t="str">
        <v>CASE 4: Chat system (WhatsApp)</v>
      </c>
      <c r="F427" s="1" t="str">
        <v>WebSockets, presence, delivery receipts, ordering, offline queue | Source: Alex Xu Vol 1 Ch.12</v>
      </c>
      <c r="G427" s="1">
        <v>0</v>
      </c>
      <c r="H427" s="1">
        <f>IFERROR(IF(B427="dsa",CHOOSE(G427+1,"Not started","Attempted","Solved with help","Solved unaided"),IF(OR(B427="bq",B427="res",B427="day"),CHOOSE(G427+1,"Not started","Done"),CHOOSE(G427+1,"Not started","In progress","Done"))),"invalid")</f>
      </c>
      <c r="L427" s="1">
        <f>HYPERLINK("https://bytebytego.com/","Open source")</f>
      </c>
    </row>
    <row r="428">
      <c r="A428" s="1" t="str">
        <v>sd-19</v>
      </c>
      <c r="B428" s="1" t="str">
        <v>sd</v>
      </c>
      <c r="C428" s="1" t="str">
        <v>Case Study</v>
      </c>
      <c r="D428" s="1">
        <v>15</v>
      </c>
      <c r="E428" s="1" t="str">
        <v>CASE 5: Video streaming (YouTube)</v>
      </c>
      <c r="F428" s="1" t="str">
        <v>Upload, transcoding pipeline, CDN, adaptive bitrate, metadata store | Source: Alex Xu Vol 1 Ch.14</v>
      </c>
      <c r="G428" s="1">
        <v>0</v>
      </c>
      <c r="H428" s="1">
        <f>IFERROR(IF(B428="dsa",CHOOSE(G428+1,"Not started","Attempted","Solved with help","Solved unaided"),IF(OR(B428="bq",B428="res",B428="day"),CHOOSE(G428+1,"Not started","Done"),CHOOSE(G428+1,"Not started","In progress","Done"))),"invalid")</f>
      </c>
      <c r="L428" s="1">
        <f>HYPERLINK("https://bytebytego.com/","Open source")</f>
      </c>
    </row>
    <row r="429">
      <c r="A429" s="1" t="str">
        <v>sd-20</v>
      </c>
      <c r="B429" s="1" t="str">
        <v>sd</v>
      </c>
      <c r="C429" s="1" t="str">
        <v>Case Study</v>
      </c>
      <c r="D429" s="1">
        <v>16</v>
      </c>
      <c r="E429" s="1" t="str">
        <v>CASE 6: Collaborative editor (Google Docs)</v>
      </c>
      <c r="F429" s="1" t="str">
        <v>OT vs CRDT, conflict resolution, cursor sync, persistence | Source: Hello Interview / blog write-ups</v>
      </c>
      <c r="G429" s="1">
        <v>0</v>
      </c>
      <c r="H429" s="1">
        <f>IFERROR(IF(B429="dsa",CHOOSE(G429+1,"Not started","Attempted","Solved with help","Solved unaided"),IF(OR(B429="bq",B429="res",B429="day"),CHOOSE(G429+1,"Not started","Done"),CHOOSE(G429+1,"Not started","In progress","Done"))),"invalid")</f>
      </c>
      <c r="L429" s="1">
        <f>HYPERLINK("https://www.hellointerview.com/learn/system-design","Open source")</f>
      </c>
    </row>
    <row r="430">
      <c r="A430" s="1" t="str">
        <v>sd-21</v>
      </c>
      <c r="B430" s="1" t="str">
        <v>sd</v>
      </c>
      <c r="C430" s="1" t="str">
        <v>Case Study</v>
      </c>
      <c r="D430" s="1">
        <v>17</v>
      </c>
      <c r="E430" s="1" t="str">
        <v>CASE 7: Distributed job scheduler</v>
      </c>
      <c r="F430" s="1" t="str">
        <v>Cron semantics, at-least-once execution, leader election, retries | Source: Alex Xu Vol 2</v>
      </c>
      <c r="G430" s="1">
        <v>0</v>
      </c>
      <c r="H430" s="1">
        <f>IFERROR(IF(B430="dsa",CHOOSE(G430+1,"Not started","Attempted","Solved with help","Solved unaided"),IF(OR(B430="bq",B430="res",B430="day"),CHOOSE(G430+1,"Not started","Done"),CHOOSE(G430+1,"Not started","In progress","Done"))),"invalid")</f>
      </c>
      <c r="L430" s="1">
        <f>HYPERLINK("https://bytebytego.com/","Open source")</f>
      </c>
    </row>
    <row r="431">
      <c r="A431" s="1" t="str">
        <v>sd-22</v>
      </c>
      <c r="B431" s="1" t="str">
        <v>sd</v>
      </c>
      <c r="C431" s="1" t="str">
        <v>Case Study</v>
      </c>
      <c r="D431" s="1">
        <v>18</v>
      </c>
      <c r="E431" s="1" t="str">
        <v>CASE 8: Search autocomplete / typeahead</v>
      </c>
      <c r="F431" s="1" t="str">
        <v>Trie at scale, top-K per prefix, sharding, freshness | Source: Alex Xu Vol 1 Ch.13</v>
      </c>
      <c r="G431" s="1">
        <v>0</v>
      </c>
      <c r="H431" s="1">
        <f>IFERROR(IF(B431="dsa",CHOOSE(G431+1,"Not started","Attempted","Solved with help","Solved unaided"),IF(OR(B431="bq",B431="res",B431="day"),CHOOSE(G431+1,"Not started","Done"),CHOOSE(G431+1,"Not started","In progress","Done"))),"invalid")</f>
      </c>
      <c r="L431" s="1">
        <f>HYPERLINK("https://bytebytego.com/","Open source")</f>
      </c>
    </row>
    <row r="432">
      <c r="A432" s="1" t="str">
        <v>sd-23</v>
      </c>
      <c r="B432" s="1" t="str">
        <v>sd</v>
      </c>
      <c r="C432" s="1" t="str">
        <v>Case Study</v>
      </c>
      <c r="D432" s="1">
        <v>19</v>
      </c>
      <c r="E432" s="1" t="str">
        <v>CASE 9: Distributed key-value store</v>
      </c>
      <c r="F432" s="1" t="str">
        <v>Consistent hashing, quorum R/W, vector clocks, gossip, Merkle trees | Source: Alex Xu Vol 1 Ch.6</v>
      </c>
      <c r="G432" s="1">
        <v>0</v>
      </c>
      <c r="H432" s="1">
        <f>IFERROR(IF(B432="dsa",CHOOSE(G432+1,"Not started","Attempted","Solved with help","Solved unaided"),IF(OR(B432="bq",B432="res",B432="day"),CHOOSE(G432+1,"Not started","Done"),CHOOSE(G432+1,"Not started","In progress","Done"))),"invalid")</f>
      </c>
      <c r="L432" s="1">
        <f>HYPERLINK("https://bytebytego.com/","Open source")</f>
      </c>
    </row>
    <row r="433">
      <c r="A433" s="1" t="str">
        <v>sd-24</v>
      </c>
      <c r="B433" s="1" t="str">
        <v>sd</v>
      </c>
      <c r="C433" s="1" t="str">
        <v>Case Study</v>
      </c>
      <c r="D433" s="1">
        <v>20</v>
      </c>
      <c r="E433" s="1" t="str">
        <v>CASE 10: Ad click / metrics aggregation</v>
      </c>
      <c r="F433" s="1" t="str">
        <v>Stream processing, windowing, exactly-once, late data, lambda vs kappa | Source: Alex Xu Vol 2</v>
      </c>
      <c r="G433" s="1">
        <v>0</v>
      </c>
      <c r="H433" s="1">
        <f>IFERROR(IF(B433="dsa",CHOOSE(G433+1,"Not started","Attempted","Solved with help","Solved unaided"),IF(OR(B433="bq",B433="res",B433="day"),CHOOSE(G433+1,"Not started","Done"),CHOOSE(G433+1,"Not started","In progress","Done"))),"invalid")</f>
      </c>
      <c r="L433" s="1">
        <f>HYPERLINK("https://bytebytego.com/","Open source")</f>
      </c>
    </row>
    <row r="434">
      <c r="A434" s="1" t="str">
        <v>sd-25</v>
      </c>
      <c r="B434" s="1" t="str">
        <v>sd</v>
      </c>
      <c r="C434" s="1" t="str">
        <v>Case Study</v>
      </c>
      <c r="D434" s="1">
        <v>21</v>
      </c>
      <c r="E434" s="1" t="str">
        <v>CASE 11: ML model serving / AI infra</v>
      </c>
      <c r="F434" s="1" t="str">
        <v>Feature store, online vs batch inference, GPU pooling, A/B, drift | Source: Alex Xu Vol 2 + 2026 trend</v>
      </c>
      <c r="G434" s="1">
        <v>0</v>
      </c>
      <c r="H434" s="1">
        <f>IFERROR(IF(B434="dsa",CHOOSE(G434+1,"Not started","Attempted","Solved with help","Solved unaided"),IF(OR(B434="bq",B434="res",B434="day"),CHOOSE(G434+1,"Not started","Done"),CHOOSE(G434+1,"Not started","In progress","Done"))),"invalid")</f>
      </c>
      <c r="L434" s="1">
        <f>HYPERLINK("https://bytebytego.com/","Open source")</f>
      </c>
    </row>
    <row r="435">
      <c r="A435" s="1" t="str">
        <v>sd-26</v>
      </c>
      <c r="B435" s="1" t="str">
        <v>sd</v>
      </c>
      <c r="C435" s="1" t="str">
        <v>Case Study</v>
      </c>
      <c r="D435" s="1">
        <v>22</v>
      </c>
      <c r="E435" s="1" t="str">
        <v>CASE 12: Google Drive / file storage</v>
      </c>
      <c r="F435" s="1" t="str">
        <v>Chunking, dedup, delta sync, metadata, consistency | Source: Alex Xu Vol 1 Ch.15</v>
      </c>
      <c r="G435" s="1">
        <v>0</v>
      </c>
      <c r="H435" s="1">
        <f>IFERROR(IF(B435="dsa",CHOOSE(G435+1,"Not started","Attempted","Solved with help","Solved unaided"),IF(OR(B435="bq",B435="res",B435="day"),CHOOSE(G435+1,"Not started","Done"),CHOOSE(G435+1,"Not started","In progress","Done"))),"invalid")</f>
      </c>
      <c r="L435" s="1">
        <f>HYPERLINK("https://bytebytego.com/","Open source")</f>
      </c>
    </row>
    <row r="436">
      <c r="A436" s="1" t="str">
        <v>sd-27</v>
      </c>
      <c r="B436" s="1" t="str">
        <v>sd</v>
      </c>
      <c r="C436" s="1" t="str">
        <v>Drill</v>
      </c>
      <c r="D436" s="1">
        <v>19</v>
      </c>
      <c r="E436" s="1" t="str">
        <v>45-min framework rehearsal</v>
      </c>
      <c r="F436" s="1" t="str">
        <v>Requirements 5m, estimation 5m, high-level 10m, deep dive 15m, wrap 5m | Source: Self-timed</v>
      </c>
      <c r="G436" s="1">
        <v>0</v>
      </c>
      <c r="H436" s="1">
        <f>IFERROR(IF(B436="dsa",CHOOSE(G436+1,"Not started","Attempted","Solved with help","Solved unaided"),IF(OR(B436="bq",B436="res",B436="day"),CHOOSE(G436+1,"Not started","Done"),CHOOSE(G436+1,"Not started","In progress","Done"))),"invalid")</f>
      </c>
      <c r="L436" s="1">
        <f>HYPERLINK("https://github.com/donnemartin/system-design-primer","Open source")</f>
      </c>
    </row>
    <row r="437">
      <c r="A437" s="1" t="str">
        <v>sd-28</v>
      </c>
      <c r="B437" s="1" t="str">
        <v>sd</v>
      </c>
      <c r="C437" s="1" t="str">
        <v>Drill</v>
      </c>
      <c r="D437" s="1">
        <v>23</v>
      </c>
      <c r="E437" s="1" t="str">
        <v>Re-draw designs from blank page</v>
      </c>
      <c r="F437" s="1" t="str">
        <v>4 designs, 45 min each, no notes | Source: Self-timed</v>
      </c>
      <c r="G437" s="1">
        <v>0</v>
      </c>
      <c r="H437" s="1">
        <f>IFERROR(IF(B437="dsa",CHOOSE(G437+1,"Not started","Attempted","Solved with help","Solved unaided"),IF(OR(B437="bq",B437="res",B437="day"),CHOOSE(G437+1,"Not started","Done"),CHOOSE(G437+1,"Not started","In progress","Done"))),"invalid")</f>
      </c>
      <c r="L437" s="1">
        <f>HYPERLINK("https://github.com/donnemartin/system-design-primer","Open source")</f>
      </c>
    </row>
    <row r="438">
      <c r="A438" s="1" t="str">
        <v>lld-1</v>
      </c>
      <c r="B438" s="1" t="str">
        <v>lld</v>
      </c>
      <c r="C438" s="1" t="str">
        <v>Concept</v>
      </c>
      <c r="D438" s="1">
        <v>3</v>
      </c>
      <c r="E438" s="1" t="str">
        <v>SOLID in Python</v>
      </c>
      <c r="F438" s="1" t="str">
        <v>Restate all 5 principles with Python examples, not Java</v>
      </c>
      <c r="G438" s="1">
        <v>0</v>
      </c>
      <c r="H438" s="1">
        <f>IFERROR(IF(B438="dsa",CHOOSE(G438+1,"Not started","Attempted","Solved with help","Solved unaided"),IF(OR(B438="bq",B438="res",B438="day"),CHOOSE(G438+1,"Not started","Done"),CHOOSE(G438+1,"Not started","In progress","Done"))),"invalid")</f>
      </c>
      <c r="L438" s="1">
        <f>HYPERLINK("https://refactoring.guru/design-patterns","Open source")</f>
      </c>
    </row>
    <row r="439">
      <c r="A439" s="1" t="str">
        <v>lld-2</v>
      </c>
      <c r="B439" s="1" t="str">
        <v>lld</v>
      </c>
      <c r="C439" s="1" t="str">
        <v>Concept</v>
      </c>
      <c r="D439" s="1">
        <v>3</v>
      </c>
      <c r="E439" s="1" t="str">
        <v>Composition over inheritance</v>
      </c>
      <c r="F439" s="1" t="str">
        <v>Refactor an inheritance tree from your own past code</v>
      </c>
      <c r="G439" s="1">
        <v>0</v>
      </c>
      <c r="H439" s="1">
        <f>IFERROR(IF(B439="dsa",CHOOSE(G439+1,"Not started","Attempted","Solved with help","Solved unaided"),IF(OR(B439="bq",B439="res",B439="day"),CHOOSE(G439+1,"Not started","Done"),CHOOSE(G439+1,"Not started","In progress","Done"))),"invalid")</f>
      </c>
      <c r="L439" s="1">
        <f>HYPERLINK("https://refactoring.guru/design-patterns","Open source")</f>
      </c>
    </row>
    <row r="440">
      <c r="A440" s="1" t="str">
        <v>lld-3</v>
      </c>
      <c r="B440" s="1" t="str">
        <v>lld</v>
      </c>
      <c r="C440" s="1" t="str">
        <v>Concept</v>
      </c>
      <c r="D440" s="1">
        <v>2</v>
      </c>
      <c r="E440" s="1" t="str">
        <v>Interfaces vs ABC vs Protocol</v>
      </c>
      <c r="F440" s="1" t="str">
        <v>Same design 3 ways; know the tradeoffs</v>
      </c>
      <c r="G440" s="1">
        <v>0</v>
      </c>
      <c r="H440" s="1">
        <f>IFERROR(IF(B440="dsa",CHOOSE(G440+1,"Not started","Attempted","Solved with help","Solved unaided"),IF(OR(B440="bq",B440="res",B440="day"),CHOOSE(G440+1,"Not started","Done"),CHOOSE(G440+1,"Not started","In progress","Done"))),"invalid")</f>
      </c>
      <c r="L440" s="1">
        <f>HYPERLINK("https://refactoring.guru/design-patterns","Open source")</f>
      </c>
    </row>
    <row r="441">
      <c r="A441" s="1" t="str">
        <v>lld-4</v>
      </c>
      <c r="B441" s="1" t="str">
        <v>lld</v>
      </c>
      <c r="C441" s="1" t="str">
        <v>Concept</v>
      </c>
      <c r="D441" s="1">
        <v>9</v>
      </c>
      <c r="E441" s="1" t="str">
        <v>Design patterns: creational</v>
      </c>
      <c r="F441" s="1" t="str">
        <v>Factory, Builder, Singleton (and why Singleton is a smell)</v>
      </c>
      <c r="G441" s="1">
        <v>0</v>
      </c>
      <c r="H441" s="1">
        <f>IFERROR(IF(B441="dsa",CHOOSE(G441+1,"Not started","Attempted","Solved with help","Solved unaided"),IF(OR(B441="bq",B441="res",B441="day"),CHOOSE(G441+1,"Not started","Done"),CHOOSE(G441+1,"Not started","In progress","Done"))),"invalid")</f>
      </c>
      <c r="L441" s="1">
        <f>HYPERLINK("https://refactoring.guru/design-patterns","Open source")</f>
      </c>
    </row>
    <row r="442">
      <c r="A442" s="1" t="str">
        <v>lld-5</v>
      </c>
      <c r="B442" s="1" t="str">
        <v>lld</v>
      </c>
      <c r="C442" s="1" t="str">
        <v>Concept</v>
      </c>
      <c r="D442" s="1">
        <v>9</v>
      </c>
      <c r="E442" s="1" t="str">
        <v>Design patterns: structural</v>
      </c>
      <c r="F442" s="1" t="str">
        <v>Adapter, Decorator, Facade, Proxy</v>
      </c>
      <c r="G442" s="1">
        <v>0</v>
      </c>
      <c r="H442" s="1">
        <f>IFERROR(IF(B442="dsa",CHOOSE(G442+1,"Not started","Attempted","Solved with help","Solved unaided"),IF(OR(B442="bq",B442="res",B442="day"),CHOOSE(G442+1,"Not started","Done"),CHOOSE(G442+1,"Not started","In progress","Done"))),"invalid")</f>
      </c>
      <c r="L442" s="1">
        <f>HYPERLINK("https://refactoring.guru/design-patterns","Open source")</f>
      </c>
    </row>
    <row r="443">
      <c r="A443" s="1" t="str">
        <v>lld-6</v>
      </c>
      <c r="B443" s="1" t="str">
        <v>lld</v>
      </c>
      <c r="C443" s="1" t="str">
        <v>Concept</v>
      </c>
      <c r="D443" s="1">
        <v>9</v>
      </c>
      <c r="E443" s="1" t="str">
        <v>Design patterns: behavioural</v>
      </c>
      <c r="F443" s="1" t="str">
        <v>Strategy, Observer, State, Command, Template Method</v>
      </c>
      <c r="G443" s="1">
        <v>0</v>
      </c>
      <c r="H443" s="1">
        <f>IFERROR(IF(B443="dsa",CHOOSE(G443+1,"Not started","Attempted","Solved with help","Solved unaided"),IF(OR(B443="bq",B443="res",B443="day"),CHOOSE(G443+1,"Not started","Done"),CHOOSE(G443+1,"Not started","In progress","Done"))),"invalid")</f>
      </c>
      <c r="L443" s="1">
        <f>HYPERLINK("https://refactoring.guru/design-patterns","Open source")</f>
      </c>
    </row>
    <row r="444">
      <c r="A444" s="1" t="str">
        <v>lld-7</v>
      </c>
      <c r="B444" s="1" t="str">
        <v>lld</v>
      </c>
      <c r="C444" s="1" t="str">
        <v>Concept</v>
      </c>
      <c r="D444" s="1">
        <v>10</v>
      </c>
      <c r="E444" s="1" t="str">
        <v>Concurrency in LLD</v>
      </c>
      <c r="F444" s="1" t="str">
        <v>Thread safety, locks, GIL implications vs Java synchronized</v>
      </c>
      <c r="G444" s="1">
        <v>0</v>
      </c>
      <c r="H444" s="1">
        <f>IFERROR(IF(B444="dsa",CHOOSE(G444+1,"Not started","Attempted","Solved with help","Solved unaided"),IF(OR(B444="bq",B444="res",B444="day"),CHOOSE(G444+1,"Not started","Done"),CHOOSE(G444+1,"Not started","In progress","Done"))),"invalid")</f>
      </c>
      <c r="L444" s="1">
        <f>HYPERLINK("https://refactoring.guru/design-patterns","Open source")</f>
      </c>
    </row>
    <row r="445">
      <c r="A445" s="1" t="str">
        <v>lld-8</v>
      </c>
      <c r="B445" s="1" t="str">
        <v>lld</v>
      </c>
      <c r="C445" s="1" t="str">
        <v>Problem</v>
      </c>
      <c r="D445" s="1">
        <v>8</v>
      </c>
      <c r="E445" s="1" t="str">
        <v>LRU Cache</v>
      </c>
      <c r="F445" s="1" t="str">
        <v>Class design + O(1) ops; extend to LFU and TTL</v>
      </c>
      <c r="G445" s="1">
        <v>0</v>
      </c>
      <c r="H445" s="1">
        <f>IFERROR(IF(B445="dsa",CHOOSE(G445+1,"Not started","Attempted","Solved with help","Solved unaided"),IF(OR(B445="bq",B445="res",B445="day"),CHOOSE(G445+1,"Not started","Done"),CHOOSE(G445+1,"Not started","In progress","Done"))),"invalid")</f>
      </c>
      <c r="L445" s="1">
        <f>HYPERLINK("https://github.com/ashishps1/awesome-low-level-design","Open source")</f>
      </c>
    </row>
    <row r="446">
      <c r="A446" s="1" t="str">
        <v>lld-9</v>
      </c>
      <c r="B446" s="1" t="str">
        <v>lld</v>
      </c>
      <c r="C446" s="1" t="str">
        <v>Problem</v>
      </c>
      <c r="D446" s="1">
        <v>8</v>
      </c>
      <c r="E446" s="1" t="str">
        <v>Deck of Cards / Blackjack</v>
      </c>
      <c r="F446" s="1" t="str">
        <v>Enums, dataclasses, shuffling, extensibility</v>
      </c>
      <c r="G446" s="1">
        <v>0</v>
      </c>
      <c r="H446" s="1">
        <f>IFERROR(IF(B446="dsa",CHOOSE(G446+1,"Not started","Attempted","Solved with help","Solved unaided"),IF(OR(B446="bq",B446="res",B446="day"),CHOOSE(G446+1,"Not started","Done"),CHOOSE(G446+1,"Not started","In progress","Done"))),"invalid")</f>
      </c>
      <c r="L446" s="1">
        <f>HYPERLINK("https://github.com/ashishps1/awesome-low-level-design","Open source")</f>
      </c>
    </row>
    <row r="447">
      <c r="A447" s="1" t="str">
        <v>lld-10</v>
      </c>
      <c r="B447" s="1" t="str">
        <v>lld</v>
      </c>
      <c r="C447" s="1" t="str">
        <v>Problem</v>
      </c>
      <c r="D447" s="1">
        <v>10</v>
      </c>
      <c r="E447" s="1" t="str">
        <v>Parking Lot</v>
      </c>
      <c r="F447" s="1" t="str">
        <v>Vehicle types, spot allocation, pricing strategy, ticketing</v>
      </c>
      <c r="G447" s="1">
        <v>0</v>
      </c>
      <c r="H447" s="1">
        <f>IFERROR(IF(B447="dsa",CHOOSE(G447+1,"Not started","Attempted","Solved with help","Solved unaided"),IF(OR(B447="bq",B447="res",B447="day"),CHOOSE(G447+1,"Not started","Done"),CHOOSE(G447+1,"Not started","In progress","Done"))),"invalid")</f>
      </c>
      <c r="L447" s="1">
        <f>HYPERLINK("https://github.com/ashishps1/awesome-low-level-design","Open source")</f>
      </c>
    </row>
    <row r="448">
      <c r="A448" s="1" t="str">
        <v>lld-11</v>
      </c>
      <c r="B448" s="1" t="str">
        <v>lld</v>
      </c>
      <c r="C448" s="1" t="str">
        <v>Problem</v>
      </c>
      <c r="D448" s="1">
        <v>11</v>
      </c>
      <c r="E448" s="1" t="str">
        <v>Elevator System</v>
      </c>
      <c r="F448" s="1" t="str">
        <v>State machine, scheduling strategy, multi-car dispatch</v>
      </c>
      <c r="G448" s="1">
        <v>0</v>
      </c>
      <c r="H448" s="1">
        <f>IFERROR(IF(B448="dsa",CHOOSE(G448+1,"Not started","Attempted","Solved with help","Solved unaided"),IF(OR(B448="bq",B448="res",B448="day"),CHOOSE(G448+1,"Not started","Done"),CHOOSE(G448+1,"Not started","In progress","Done"))),"invalid")</f>
      </c>
      <c r="L448" s="1">
        <f>HYPERLINK("https://github.com/ashishps1/awesome-low-level-design","Open source")</f>
      </c>
    </row>
    <row r="449">
      <c r="A449" s="1" t="str">
        <v>lld-12</v>
      </c>
      <c r="B449" s="1" t="str">
        <v>lld</v>
      </c>
      <c r="C449" s="1" t="str">
        <v>Problem</v>
      </c>
      <c r="D449" s="1">
        <v>13</v>
      </c>
      <c r="E449" s="1" t="str">
        <v>Rate Limiter</v>
      </c>
      <c r="F449" s="1" t="str">
        <v>Strategy pattern for algorithms, per-user config, thread safety</v>
      </c>
      <c r="G449" s="1">
        <v>0</v>
      </c>
      <c r="H449" s="1">
        <f>IFERROR(IF(B449="dsa",CHOOSE(G449+1,"Not started","Attempted","Solved with help","Solved unaided"),IF(OR(B449="bq",B449="res",B449="day"),CHOOSE(G449+1,"Not started","Done"),CHOOSE(G449+1,"Not started","In progress","Done"))),"invalid")</f>
      </c>
      <c r="L449" s="1">
        <f>HYPERLINK("https://github.com/ashishps1/awesome-low-level-design","Open source")</f>
      </c>
    </row>
    <row r="450">
      <c r="A450" s="1" t="str">
        <v>lld-13</v>
      </c>
      <c r="B450" s="1" t="str">
        <v>lld</v>
      </c>
      <c r="C450" s="1" t="str">
        <v>Problem</v>
      </c>
      <c r="D450" s="1">
        <v>13</v>
      </c>
      <c r="E450" s="1" t="str">
        <v>Notification Service</v>
      </c>
      <c r="F450" s="1" t="str">
        <v>Observer pattern, channel abstraction, retry, templating</v>
      </c>
      <c r="G450" s="1">
        <v>0</v>
      </c>
      <c r="H450" s="1">
        <f>IFERROR(IF(B450="dsa",CHOOSE(G450+1,"Not started","Attempted","Solved with help","Solved unaided"),IF(OR(B450="bq",B450="res",B450="day"),CHOOSE(G450+1,"Not started","Done"),CHOOSE(G450+1,"Not started","In progress","Done"))),"invalid")</f>
      </c>
      <c r="L450" s="1">
        <f>HYPERLINK("https://github.com/ashishps1/awesome-low-level-design","Open source")</f>
      </c>
    </row>
    <row r="451">
      <c r="A451" s="1" t="str">
        <v>lld-14</v>
      </c>
      <c r="B451" s="1" t="str">
        <v>lld</v>
      </c>
      <c r="C451" s="1" t="str">
        <v>Problem</v>
      </c>
      <c r="D451" s="1">
        <v>14</v>
      </c>
      <c r="E451" s="1" t="str">
        <v>Splitwise</v>
      </c>
      <c r="F451" s="1" t="str">
        <v>Expense splitting, balance graph, settlement simplification</v>
      </c>
      <c r="G451" s="1">
        <v>0</v>
      </c>
      <c r="H451" s="1">
        <f>IFERROR(IF(B451="dsa",CHOOSE(G451+1,"Not started","Attempted","Solved with help","Solved unaided"),IF(OR(B451="bq",B451="res",B451="day"),CHOOSE(G451+1,"Not started","Done"),CHOOSE(G451+1,"Not started","In progress","Done"))),"invalid")</f>
      </c>
      <c r="L451" s="1">
        <f>HYPERLINK("https://github.com/ashishps1/awesome-low-level-design","Open source")</f>
      </c>
    </row>
    <row r="452">
      <c r="A452" s="1" t="str">
        <v>lld-15</v>
      </c>
      <c r="B452" s="1" t="str">
        <v>lld</v>
      </c>
      <c r="C452" s="1" t="str">
        <v>Problem</v>
      </c>
      <c r="D452" s="1">
        <v>15</v>
      </c>
      <c r="E452" s="1" t="str">
        <v>Vending Machine</v>
      </c>
      <c r="F452" s="1" t="str">
        <v>State pattern, inventory, payment, change dispensing</v>
      </c>
      <c r="G452" s="1">
        <v>0</v>
      </c>
      <c r="H452" s="1">
        <f>IFERROR(IF(B452="dsa",CHOOSE(G452+1,"Not started","Attempted","Solved with help","Solved unaided"),IF(OR(B452="bq",B452="res",B452="day"),CHOOSE(G452+1,"Not started","Done"),CHOOSE(G452+1,"Not started","In progress","Done"))),"invalid")</f>
      </c>
      <c r="L452" s="1">
        <f>HYPERLINK("https://github.com/ashishps1/awesome-low-level-design","Open source")</f>
      </c>
    </row>
    <row r="453">
      <c r="A453" s="1" t="str">
        <v>lld-16</v>
      </c>
      <c r="B453" s="1" t="str">
        <v>lld</v>
      </c>
      <c r="C453" s="1" t="str">
        <v>Problem</v>
      </c>
      <c r="D453" s="1">
        <v>16</v>
      </c>
      <c r="E453" s="1" t="str">
        <v>Meeting Scheduler / Calendar</v>
      </c>
      <c r="F453" s="1" t="str">
        <v>Interval conflicts, recurrence rules, timezones</v>
      </c>
      <c r="G453" s="1">
        <v>0</v>
      </c>
      <c r="H453" s="1">
        <f>IFERROR(IF(B453="dsa",CHOOSE(G453+1,"Not started","Attempted","Solved with help","Solved unaided"),IF(OR(B453="bq",B453="res",B453="day"),CHOOSE(G453+1,"Not started","Done"),CHOOSE(G453+1,"Not started","In progress","Done"))),"invalid")</f>
      </c>
      <c r="L453" s="1">
        <f>HYPERLINK("https://github.com/ashishps1/awesome-low-level-design","Open source")</f>
      </c>
    </row>
    <row r="454">
      <c r="A454" s="1" t="str">
        <v>lld-17</v>
      </c>
      <c r="B454" s="1" t="str">
        <v>lld</v>
      </c>
      <c r="C454" s="1" t="str">
        <v>Problem</v>
      </c>
      <c r="D454" s="1">
        <v>17</v>
      </c>
      <c r="E454" s="1" t="str">
        <v>In-memory File System</v>
      </c>
      <c r="F454" s="1" t="str">
        <v>Composite pattern, path resolution, permissions</v>
      </c>
      <c r="G454" s="1">
        <v>0</v>
      </c>
      <c r="H454" s="1">
        <f>IFERROR(IF(B454="dsa",CHOOSE(G454+1,"Not started","Attempted","Solved with help","Solved unaided"),IF(OR(B454="bq",B454="res",B454="day"),CHOOSE(G454+1,"Not started","Done"),CHOOSE(G454+1,"Not started","In progress","Done"))),"invalid")</f>
      </c>
      <c r="L454" s="1">
        <f>HYPERLINK("https://github.com/ashishps1/awesome-low-level-design","Open source")</f>
      </c>
    </row>
    <row r="455">
      <c r="A455" s="1" t="str">
        <v>lld-18</v>
      </c>
      <c r="B455" s="1" t="str">
        <v>lld</v>
      </c>
      <c r="C455" s="1" t="str">
        <v>Problem</v>
      </c>
      <c r="D455" s="1">
        <v>17</v>
      </c>
      <c r="E455" s="1" t="str">
        <v>Logging Framework</v>
      </c>
      <c r="F455" s="1" t="str">
        <v>Chain of responsibility, levels, appenders, async writes</v>
      </c>
      <c r="G455" s="1">
        <v>0</v>
      </c>
      <c r="H455" s="1">
        <f>IFERROR(IF(B455="dsa",CHOOSE(G455+1,"Not started","Attempted","Solved with help","Solved unaided"),IF(OR(B455="bq",B455="res",B455="day"),CHOOSE(G455+1,"Not started","Done"),CHOOSE(G455+1,"Not started","In progress","Done"))),"invalid")</f>
      </c>
      <c r="L455" s="1">
        <f>HYPERLINK("https://github.com/ashishps1/awesome-low-level-design","Open source")</f>
      </c>
    </row>
    <row r="456">
      <c r="A456" s="1" t="str">
        <v>lld-19</v>
      </c>
      <c r="B456" s="1" t="str">
        <v>lld</v>
      </c>
      <c r="C456" s="1" t="str">
        <v>Problem</v>
      </c>
      <c r="D456" s="1">
        <v>18</v>
      </c>
      <c r="E456" s="1" t="str">
        <v>Snake Game</v>
      </c>
      <c r="F456" s="1" t="str">
        <v>Grid state, deque body, collision, growth</v>
      </c>
      <c r="G456" s="1">
        <v>0</v>
      </c>
      <c r="H456" s="1">
        <f>IFERROR(IF(B456="dsa",CHOOSE(G456+1,"Not started","Attempted","Solved with help","Solved unaided"),IF(OR(B456="bq",B456="res",B456="day"),CHOOSE(G456+1,"Not started","Done"),CHOOSE(G456+1,"Not started","In progress","Done"))),"invalid")</f>
      </c>
      <c r="L456" s="1">
        <f>HYPERLINK("https://github.com/ashishps1/awesome-low-level-design","Open source")</f>
      </c>
    </row>
    <row r="457">
      <c r="A457" s="1" t="str">
        <v>lld-20</v>
      </c>
      <c r="B457" s="1" t="str">
        <v>lld</v>
      </c>
      <c r="C457" s="1" t="str">
        <v>Problem</v>
      </c>
      <c r="D457" s="1">
        <v>18</v>
      </c>
      <c r="E457" s="1" t="str">
        <v>Text Editor with undo/redo</v>
      </c>
      <c r="F457" s="1" t="str">
        <v>Command pattern, memento, cursor model</v>
      </c>
      <c r="G457" s="1">
        <v>0</v>
      </c>
      <c r="H457" s="1">
        <f>IFERROR(IF(B457="dsa",CHOOSE(G457+1,"Not started","Attempted","Solved with help","Solved unaided"),IF(OR(B457="bq",B457="res",B457="day"),CHOOSE(G457+1,"Not started","Done"),CHOOSE(G457+1,"Not started","In progress","Done"))),"invalid")</f>
      </c>
      <c r="L457" s="1">
        <f>HYPERLINK("https://github.com/ashishps1/awesome-low-level-design","Open source")</f>
      </c>
    </row>
    <row r="458">
      <c r="A458" s="1" t="str">
        <v>lld-21</v>
      </c>
      <c r="B458" s="1" t="str">
        <v>lld</v>
      </c>
      <c r="C458" s="1" t="str">
        <v>Drill</v>
      </c>
      <c r="D458" s="1">
        <v>19</v>
      </c>
      <c r="E458" s="1" t="str">
        <v>Explain 3 designs from memory</v>
      </c>
      <c r="F458" s="1" t="str">
        <v>Whiteboard, 20 min each, no notes</v>
      </c>
      <c r="G458" s="1">
        <v>0</v>
      </c>
      <c r="H458" s="1">
        <f>IFERROR(IF(B458="dsa",CHOOSE(G458+1,"Not started","Attempted","Solved with help","Solved unaided"),IF(OR(B458="bq",B458="res",B458="day"),CHOOSE(G458+1,"Not started","Done"),CHOOSE(G458+1,"Not started","In progress","Done"))),"invalid")</f>
      </c>
      <c r="L458" s="1">
        <f>HYPERLINK("https://github.com/ashishps1/awesome-low-level-design","Open source")</f>
      </c>
    </row>
    <row r="459">
      <c r="A459" s="1" t="str">
        <v>star-S01</v>
      </c>
      <c r="B459" s="1" t="str">
        <v>star</v>
      </c>
      <c r="C459" s="1" t="str">
        <v>Story bank</v>
      </c>
      <c r="E459" s="1" t="str">
        <v>S01 Conflict with a senior engineer / disagreement</v>
      </c>
      <c r="F459" s="1" t="str">
        <v>Emergent leadership; Intellectual humility</v>
      </c>
      <c r="G459" s="1">
        <v>0</v>
      </c>
      <c r="H459" s="1">
        <f>IFERROR(IF(B459="dsa",CHOOSE(G459+1,"Not started","Attempted","Solved with help","Solved unaided"),IF(OR(B459="bq",B459="res",B459="day"),CHOOSE(G459+1,"Not started","Done"),CHOOSE(G459+1,"Not started","In progress","Done"))),"invalid")</f>
      </c>
    </row>
    <row r="460">
      <c r="A460" s="1" t="str">
        <v>star-S02</v>
      </c>
      <c r="B460" s="1" t="str">
        <v>star</v>
      </c>
      <c r="C460" s="1" t="str">
        <v>Story bank</v>
      </c>
      <c r="E460" s="1" t="str">
        <v>S02 A significant failure and what changed after</v>
      </c>
      <c r="F460" s="1" t="str">
        <v>Intellectual humility; Growth</v>
      </c>
      <c r="G460" s="1">
        <v>0</v>
      </c>
      <c r="H460" s="1">
        <f>IFERROR(IF(B460="dsa",CHOOSE(G460+1,"Not started","Attempted","Solved with help","Solved unaided"),IF(OR(B460="bq",B460="res",B460="day"),CHOOSE(G460+1,"Not started","Done"),CHOOSE(G460+1,"Not started","In progress","Done"))),"invalid")</f>
      </c>
    </row>
    <row r="461">
      <c r="A461" s="1" t="str">
        <v>star-S03</v>
      </c>
      <c r="B461" s="1" t="str">
        <v>star</v>
      </c>
      <c r="C461" s="1" t="str">
        <v>Story bank</v>
      </c>
      <c r="E461" s="1" t="str">
        <v>S03 Influenced without authority across teams</v>
      </c>
      <c r="F461" s="1" t="str">
        <v>Emergent leadership; Collaboration</v>
      </c>
      <c r="G461" s="1">
        <v>0</v>
      </c>
      <c r="H461" s="1">
        <f>IFERROR(IF(B461="dsa",CHOOSE(G461+1,"Not started","Attempted","Solved with help","Solved unaided"),IF(OR(B461="bq",B461="res",B461="day"),CHOOSE(G461+1,"Not started","Done"),CHOOSE(G461+1,"Not started","In progress","Done"))),"invalid")</f>
      </c>
    </row>
    <row r="462">
      <c r="A462" s="1" t="str">
        <v>star-S04</v>
      </c>
      <c r="B462" s="1" t="str">
        <v>star</v>
      </c>
      <c r="C462" s="1" t="str">
        <v>Story bank</v>
      </c>
      <c r="E462" s="1" t="str">
        <v>S04 Delivered under high ambiguity / vague requirements</v>
      </c>
      <c r="F462" s="1" t="str">
        <v>Navigating ambiguity; Bias for action</v>
      </c>
      <c r="G462" s="1">
        <v>0</v>
      </c>
      <c r="H462" s="1">
        <f>IFERROR(IF(B462="dsa",CHOOSE(G462+1,"Not started","Attempted","Solved with help","Solved unaided"),IF(OR(B462="bq",B462="res",B462="day"),CHOOSE(G462+1,"Not started","Done"),CHOOSE(G462+1,"Not started","In progress","Done"))),"invalid")</f>
      </c>
    </row>
    <row r="463">
      <c r="A463" s="1" t="str">
        <v>star-S05</v>
      </c>
      <c r="B463" s="1" t="str">
        <v>star</v>
      </c>
      <c r="C463" s="1" t="str">
        <v>Story bank</v>
      </c>
      <c r="E463" s="1" t="str">
        <v>S05 Hardest technical decision + tradeoffs you owned</v>
      </c>
      <c r="F463" s="1" t="str">
        <v>Technical judgment; Ownership</v>
      </c>
      <c r="G463" s="1">
        <v>0</v>
      </c>
      <c r="H463" s="1">
        <f>IFERROR(IF(B463="dsa",CHOOSE(G463+1,"Not started","Attempted","Solved with help","Solved unaided"),IF(OR(B463="bq",B463="res",B463="day"),CHOOSE(G463+1,"Not started","Done"),CHOOSE(G463+1,"Not started","In progress","Done"))),"invalid")</f>
      </c>
    </row>
    <row r="464">
      <c r="A464" s="1" t="str">
        <v>star-S06</v>
      </c>
      <c r="B464" s="1" t="str">
        <v>star</v>
      </c>
      <c r="C464" s="1" t="str">
        <v>Story bank</v>
      </c>
      <c r="E464" s="1" t="str">
        <v>S06 Mentored or levelled up another engineer</v>
      </c>
      <c r="F464" s="1" t="str">
        <v>Emergent leadership; Collaboration</v>
      </c>
      <c r="G464" s="1">
        <v>0</v>
      </c>
      <c r="H464" s="1">
        <f>IFERROR(IF(B464="dsa",CHOOSE(G464+1,"Not started","Attempted","Solved with help","Solved unaided"),IF(OR(B464="bq",B464="res",B464="day"),CHOOSE(G464+1,"Not started","Done"),CHOOSE(G464+1,"Not started","In progress","Done"))),"invalid")</f>
      </c>
    </row>
    <row r="465">
      <c r="A465" s="1" t="str">
        <v>star-S07</v>
      </c>
      <c r="B465" s="1" t="str">
        <v>star</v>
      </c>
      <c r="C465" s="1" t="str">
        <v>Story bank</v>
      </c>
      <c r="E465" s="1" t="str">
        <v>S07 Production incident you led or fixed</v>
      </c>
      <c r="F465" s="1" t="str">
        <v>Ownership; Bias for action</v>
      </c>
      <c r="G465" s="1">
        <v>0</v>
      </c>
      <c r="H465" s="1">
        <f>IFERROR(IF(B465="dsa",CHOOSE(G465+1,"Not started","Attempted","Solved with help","Solved unaided"),IF(OR(B465="bq",B465="res",B465="day"),CHOOSE(G465+1,"Not started","Done"),CHOOSE(G465+1,"Not started","In progress","Done"))),"invalid")</f>
      </c>
    </row>
    <row r="466">
      <c r="A466" s="1" t="str">
        <v>star-S08</v>
      </c>
      <c r="B466" s="1" t="str">
        <v>star</v>
      </c>
      <c r="C466" s="1" t="str">
        <v>Story bank</v>
      </c>
      <c r="E466" s="1" t="str">
        <v>S08 Received hard feedback and acted on it</v>
      </c>
      <c r="F466" s="1" t="str">
        <v>Intellectual humility</v>
      </c>
      <c r="G466" s="1">
        <v>0</v>
      </c>
      <c r="H466" s="1">
        <f>IFERROR(IF(B466="dsa",CHOOSE(G466+1,"Not started","Attempted","Solved with help","Solved unaided"),IF(OR(B466="bq",B466="res",B466="day"),CHOOSE(G466+1,"Not started","Done"),CHOOSE(G466+1,"Not started","In progress","Done"))),"invalid")</f>
      </c>
    </row>
    <row r="467">
      <c r="A467" s="1" t="str">
        <v>star-S09</v>
      </c>
      <c r="B467" s="1" t="str">
        <v>star</v>
      </c>
      <c r="C467" s="1" t="str">
        <v>Story bank</v>
      </c>
      <c r="E467" s="1" t="str">
        <v>S09 Blocked by a cross-team dependency; how you unblocked it</v>
      </c>
      <c r="F467" s="1" t="str">
        <v>Collaboration; Persistence</v>
      </c>
      <c r="G467" s="1">
        <v>0</v>
      </c>
      <c r="H467" s="1">
        <f>IFERROR(IF(B467="dsa",CHOOSE(G467+1,"Not started","Attempted","Solved with help","Solved unaided"),IF(OR(B467="bq",B467="res",B467="day"),CHOOSE(G467+1,"Not started","Done"),CHOOSE(G467+1,"Not started","In progress","Done"))),"invalid")</f>
      </c>
    </row>
    <row r="468">
      <c r="A468" s="1" t="str">
        <v>star-S10</v>
      </c>
      <c r="B468" s="1" t="str">
        <v>star</v>
      </c>
      <c r="C468" s="1" t="str">
        <v>Story bank</v>
      </c>
      <c r="E468" s="1" t="str">
        <v>S10 Traded scope/quality against a deadline</v>
      </c>
      <c r="F468" s="1" t="str">
        <v>Judgment; Doing the right thing</v>
      </c>
      <c r="G468" s="1">
        <v>0</v>
      </c>
      <c r="H468" s="1">
        <f>IFERROR(IF(B468="dsa",CHOOSE(G468+1,"Not started","Attempted","Solved with help","Solved unaided"),IF(OR(B468="bq",B468="res",B468="day"),CHOOSE(G468+1,"Not started","Done"),CHOOSE(G468+1,"Not started","In progress","Done"))),"invalid")</f>
      </c>
    </row>
    <row r="469">
      <c r="A469" s="1" t="str">
        <v>star-S11</v>
      </c>
      <c r="B469" s="1" t="str">
        <v>star</v>
      </c>
      <c r="C469" s="1" t="str">
        <v>Story bank</v>
      </c>
      <c r="E469" s="1" t="str">
        <v>S11 Advocated for the user / pushed back on a bad requirement</v>
      </c>
      <c r="F469" s="1" t="str">
        <v>Care for the user; Doing the right thing</v>
      </c>
      <c r="G469" s="1">
        <v>0</v>
      </c>
      <c r="H469" s="1">
        <f>IFERROR(IF(B469="dsa",CHOOSE(G469+1,"Not started","Attempted","Solved with help","Solved unaided"),IF(OR(B469="bq",B469="res",B469="day"),CHOOSE(G469+1,"Not started","Done"),CHOOSE(G469+1,"Not started","In progress","Done"))),"invalid")</f>
      </c>
    </row>
    <row r="470">
      <c r="A470" s="1" t="str">
        <v>star-S12</v>
      </c>
      <c r="B470" s="1" t="str">
        <v>star</v>
      </c>
      <c r="C470" s="1" t="str">
        <v>Story bank</v>
      </c>
      <c r="E470" s="1" t="str">
        <v>S12 Largest-impact project you drove end to end</v>
      </c>
      <c r="F470" s="1" t="str">
        <v>Scope &amp; impact (the L5 evidence story)</v>
      </c>
      <c r="G470" s="1">
        <v>0</v>
      </c>
      <c r="H470" s="1">
        <f>IFERROR(IF(B470="dsa",CHOOSE(G470+1,"Not started","Attempted","Solved with help","Solved unaided"),IF(OR(B470="bq",B470="res",B470="day"),CHOOSE(G470+1,"Not started","Done"),CHOOSE(G470+1,"Not started","In progress","Done"))),"invalid")</f>
      </c>
    </row>
    <row r="471">
      <c r="A471" s="1" t="str">
        <v>bq-1</v>
      </c>
      <c r="B471" s="1" t="str">
        <v>bq</v>
      </c>
      <c r="C471" s="1" t="str">
        <v>Conflict</v>
      </c>
      <c r="E471" s="1" t="str">
        <v>Tell me about a time you disagreed with a senior engineer's technical decision.</v>
      </c>
      <c r="G471" s="1">
        <v>0</v>
      </c>
      <c r="H471" s="1">
        <f>IFERROR(IF(B471="dsa",CHOOSE(G471+1,"Not started","Attempted","Solved with help","Solved unaided"),IF(OR(B471="bq",B471="res",B471="day"),CHOOSE(G471+1,"Not started","Done"),CHOOSE(G471+1,"Not started","In progress","Done"))),"invalid")</f>
      </c>
    </row>
    <row r="472">
      <c r="A472" s="1" t="str">
        <v>bq-2</v>
      </c>
      <c r="B472" s="1" t="str">
        <v>bq</v>
      </c>
      <c r="C472" s="1" t="str">
        <v>Conflict</v>
      </c>
      <c r="E472" s="1" t="str">
        <v>Describe a conflict with a teammate. How did you resolve it?</v>
      </c>
      <c r="G472" s="1">
        <v>0</v>
      </c>
      <c r="H472" s="1">
        <f>IFERROR(IF(B472="dsa",CHOOSE(G472+1,"Not started","Attempted","Solved with help","Solved unaided"),IF(OR(B472="bq",B472="res",B472="day"),CHOOSE(G472+1,"Not started","Done"),CHOOSE(G472+1,"Not started","In progress","Done"))),"invalid")</f>
      </c>
    </row>
    <row r="473">
      <c r="A473" s="1" t="str">
        <v>bq-3</v>
      </c>
      <c r="B473" s="1" t="str">
        <v>bq</v>
      </c>
      <c r="C473" s="1" t="str">
        <v>Conflict</v>
      </c>
      <c r="E473" s="1" t="str">
        <v>Tell me about a time you had to say no to a stakeholder.</v>
      </c>
      <c r="G473" s="1">
        <v>0</v>
      </c>
      <c r="H473" s="1">
        <f>IFERROR(IF(B473="dsa",CHOOSE(G473+1,"Not started","Attempted","Solved with help","Solved unaided"),IF(OR(B473="bq",B473="res",B473="day"),CHOOSE(G473+1,"Not started","Done"),CHOOSE(G473+1,"Not started","In progress","Done"))),"invalid")</f>
      </c>
    </row>
    <row r="474">
      <c r="A474" s="1" t="str">
        <v>bq-4</v>
      </c>
      <c r="B474" s="1" t="str">
        <v>bq</v>
      </c>
      <c r="C474" s="1" t="str">
        <v>Failure</v>
      </c>
      <c r="E474" s="1" t="str">
        <v>Tell me about your biggest professional failure.</v>
      </c>
      <c r="G474" s="1">
        <v>0</v>
      </c>
      <c r="H474" s="1">
        <f>IFERROR(IF(B474="dsa",CHOOSE(G474+1,"Not started","Attempted","Solved with help","Solved unaided"),IF(OR(B474="bq",B474="res",B474="day"),CHOOSE(G474+1,"Not started","Done"),CHOOSE(G474+1,"Not started","In progress","Done"))),"invalid")</f>
      </c>
    </row>
    <row r="475">
      <c r="A475" s="1" t="str">
        <v>bq-5</v>
      </c>
      <c r="B475" s="1" t="str">
        <v>bq</v>
      </c>
      <c r="C475" s="1" t="str">
        <v>Failure</v>
      </c>
      <c r="E475" s="1" t="str">
        <v>Describe a time you missed a deadline. What happened?</v>
      </c>
      <c r="G475" s="1">
        <v>0</v>
      </c>
      <c r="H475" s="1">
        <f>IFERROR(IF(B475="dsa",CHOOSE(G475+1,"Not started","Attempted","Solved with help","Solved unaided"),IF(OR(B475="bq",B475="res",B475="day"),CHOOSE(G475+1,"Not started","Done"),CHOOSE(G475+1,"Not started","In progress","Done"))),"invalid")</f>
      </c>
    </row>
    <row r="476">
      <c r="A476" s="1" t="str">
        <v>bq-6</v>
      </c>
      <c r="B476" s="1" t="str">
        <v>bq</v>
      </c>
      <c r="C476" s="1" t="str">
        <v>Failure</v>
      </c>
      <c r="E476" s="1" t="str">
        <v>Tell me about a decision you made that turned out to be wrong.</v>
      </c>
      <c r="G476" s="1">
        <v>0</v>
      </c>
      <c r="H476" s="1">
        <f>IFERROR(IF(B476="dsa",CHOOSE(G476+1,"Not started","Attempted","Solved with help","Solved unaided"),IF(OR(B476="bq",B476="res",B476="day"),CHOOSE(G476+1,"Not started","Done"),CHOOSE(G476+1,"Not started","In progress","Done"))),"invalid")</f>
      </c>
    </row>
    <row r="477">
      <c r="A477" s="1" t="str">
        <v>bq-7</v>
      </c>
      <c r="B477" s="1" t="str">
        <v>bq</v>
      </c>
      <c r="C477" s="1" t="str">
        <v>Leadership</v>
      </c>
      <c r="E477" s="1" t="str">
        <v>Tell me about a time you led a project without formal authority.</v>
      </c>
      <c r="G477" s="1">
        <v>0</v>
      </c>
      <c r="H477" s="1">
        <f>IFERROR(IF(B477="dsa",CHOOSE(G477+1,"Not started","Attempted","Solved with help","Solved unaided"),IF(OR(B477="bq",B477="res",B477="day"),CHOOSE(G477+1,"Not started","Done"),CHOOSE(G477+1,"Not started","In progress","Done"))),"invalid")</f>
      </c>
    </row>
    <row r="478">
      <c r="A478" s="1" t="str">
        <v>bq-8</v>
      </c>
      <c r="B478" s="1" t="str">
        <v>bq</v>
      </c>
      <c r="C478" s="1" t="str">
        <v>Leadership</v>
      </c>
      <c r="E478" s="1" t="str">
        <v>Describe a time you mentored someone through a difficult problem.</v>
      </c>
      <c r="G478" s="1">
        <v>0</v>
      </c>
      <c r="H478" s="1">
        <f>IFERROR(IF(B478="dsa",CHOOSE(G478+1,"Not started","Attempted","Solved with help","Solved unaided"),IF(OR(B478="bq",B478="res",B478="day"),CHOOSE(G478+1,"Not started","Done"),CHOOSE(G478+1,"Not started","In progress","Done"))),"invalid")</f>
      </c>
    </row>
    <row r="479">
      <c r="A479" s="1" t="str">
        <v>bq-9</v>
      </c>
      <c r="B479" s="1" t="str">
        <v>bq</v>
      </c>
      <c r="C479" s="1" t="str">
        <v>Leadership</v>
      </c>
      <c r="E479" s="1" t="str">
        <v>Tell me about a time you improved a team process.</v>
      </c>
      <c r="G479" s="1">
        <v>0</v>
      </c>
      <c r="H479" s="1">
        <f>IFERROR(IF(B479="dsa",CHOOSE(G479+1,"Not started","Attempted","Solved with help","Solved unaided"),IF(OR(B479="bq",B479="res",B479="day"),CHOOSE(G479+1,"Not started","Done"),CHOOSE(G479+1,"Not started","In progress","Done"))),"invalid")</f>
      </c>
    </row>
    <row r="480">
      <c r="A480" s="1" t="str">
        <v>bq-10</v>
      </c>
      <c r="B480" s="1" t="str">
        <v>bq</v>
      </c>
      <c r="C480" s="1" t="str">
        <v>Leadership</v>
      </c>
      <c r="E480" s="1" t="str">
        <v>How have you handled an underperforming teammate?</v>
      </c>
      <c r="G480" s="1">
        <v>0</v>
      </c>
      <c r="H480" s="1">
        <f>IFERROR(IF(B480="dsa",CHOOSE(G480+1,"Not started","Attempted","Solved with help","Solved unaided"),IF(OR(B480="bq",B480="res",B480="day"),CHOOSE(G480+1,"Not started","Done"),CHOOSE(G480+1,"Not started","In progress","Done"))),"invalid")</f>
      </c>
    </row>
    <row r="481">
      <c r="A481" s="1" t="str">
        <v>bq-11</v>
      </c>
      <c r="B481" s="1" t="str">
        <v>bq</v>
      </c>
      <c r="C481" s="1" t="str">
        <v>Ambiguity</v>
      </c>
      <c r="E481" s="1" t="str">
        <v>Tell me about the most ambiguous project you have worked on.</v>
      </c>
      <c r="G481" s="1">
        <v>0</v>
      </c>
      <c r="H481" s="1">
        <f>IFERROR(IF(B481="dsa",CHOOSE(G481+1,"Not started","Attempted","Solved with help","Solved unaided"),IF(OR(B481="bq",B481="res",B481="day"),CHOOSE(G481+1,"Not started","Done"),CHOOSE(G481+1,"Not started","In progress","Done"))),"invalid")</f>
      </c>
    </row>
    <row r="482">
      <c r="A482" s="1" t="str">
        <v>bq-12</v>
      </c>
      <c r="B482" s="1" t="str">
        <v>bq</v>
      </c>
      <c r="C482" s="1" t="str">
        <v>Ambiguity</v>
      </c>
      <c r="E482" s="1" t="str">
        <v>Describe a time you had to make a decision with incomplete data.</v>
      </c>
      <c r="G482" s="1">
        <v>0</v>
      </c>
      <c r="H482" s="1">
        <f>IFERROR(IF(B482="dsa",CHOOSE(G482+1,"Not started","Attempted","Solved with help","Solved unaided"),IF(OR(B482="bq",B482="res",B482="day"),CHOOSE(G482+1,"Not started","Done"),CHOOSE(G482+1,"Not started","In progress","Done"))),"invalid")</f>
      </c>
    </row>
    <row r="483">
      <c r="A483" s="1" t="str">
        <v>bq-13</v>
      </c>
      <c r="B483" s="1" t="str">
        <v>bq</v>
      </c>
      <c r="C483" s="1" t="str">
        <v>Ambiguity</v>
      </c>
      <c r="E483" s="1" t="str">
        <v>Tell me about a time requirements changed mid-project.</v>
      </c>
      <c r="G483" s="1">
        <v>0</v>
      </c>
      <c r="H483" s="1">
        <f>IFERROR(IF(B483="dsa",CHOOSE(G483+1,"Not started","Attempted","Solved with help","Solved unaided"),IF(OR(B483="bq",B483="res",B483="day"),CHOOSE(G483+1,"Not started","Done"),CHOOSE(G483+1,"Not started","In progress","Done"))),"invalid")</f>
      </c>
    </row>
    <row r="484">
      <c r="A484" s="1" t="str">
        <v>bq-14</v>
      </c>
      <c r="B484" s="1" t="str">
        <v>bq</v>
      </c>
      <c r="C484" s="1" t="str">
        <v>Impact</v>
      </c>
      <c r="E484" s="1" t="str">
        <v>What is the highest-impact thing you have shipped? How did you measure it?</v>
      </c>
      <c r="G484" s="1">
        <v>0</v>
      </c>
      <c r="H484" s="1">
        <f>IFERROR(IF(B484="dsa",CHOOSE(G484+1,"Not started","Attempted","Solved with help","Solved unaided"),IF(OR(B484="bq",B484="res",B484="day"),CHOOSE(G484+1,"Not started","Done"),CHOOSE(G484+1,"Not started","In progress","Done"))),"invalid")</f>
      </c>
    </row>
    <row r="485">
      <c r="A485" s="1" t="str">
        <v>bq-15</v>
      </c>
      <c r="B485" s="1" t="str">
        <v>bq</v>
      </c>
      <c r="C485" s="1" t="str">
        <v>Impact</v>
      </c>
      <c r="E485" s="1" t="str">
        <v>Tell me about a time you significantly improved performance or cost.</v>
      </c>
      <c r="G485" s="1">
        <v>0</v>
      </c>
      <c r="H485" s="1">
        <f>IFERROR(IF(B485="dsa",CHOOSE(G485+1,"Not started","Attempted","Solved with help","Solved unaided"),IF(OR(B485="bq",B485="res",B485="day"),CHOOSE(G485+1,"Not started","Done"),CHOOSE(G485+1,"Not started","In progress","Done"))),"invalid")</f>
      </c>
    </row>
    <row r="486">
      <c r="A486" s="1" t="str">
        <v>bq-16</v>
      </c>
      <c r="B486" s="1" t="str">
        <v>bq</v>
      </c>
      <c r="C486" s="1" t="str">
        <v>Judgment</v>
      </c>
      <c r="E486" s="1" t="str">
        <v>Describe a time you chose speed over quality, or the reverse.</v>
      </c>
      <c r="G486" s="1">
        <v>0</v>
      </c>
      <c r="H486" s="1">
        <f>IFERROR(IF(B486="dsa",CHOOSE(G486+1,"Not started","Attempted","Solved with help","Solved unaided"),IF(OR(B486="bq",B486="res",B486="day"),CHOOSE(G486+1,"Not started","Done"),CHOOSE(G486+1,"Not started","In progress","Done"))),"invalid")</f>
      </c>
    </row>
    <row r="487">
      <c r="A487" s="1" t="str">
        <v>bq-17</v>
      </c>
      <c r="B487" s="1" t="str">
        <v>bq</v>
      </c>
      <c r="C487" s="1" t="str">
        <v>Judgment</v>
      </c>
      <c r="E487" s="1" t="str">
        <v>Tell me about technical debt you decided to pay down (or not).</v>
      </c>
      <c r="G487" s="1">
        <v>0</v>
      </c>
      <c r="H487" s="1">
        <f>IFERROR(IF(B487="dsa",CHOOSE(G487+1,"Not started","Attempted","Solved with help","Solved unaided"),IF(OR(B487="bq",B487="res",B487="day"),CHOOSE(G487+1,"Not started","Done"),CHOOSE(G487+1,"Not started","In progress","Done"))),"invalid")</f>
      </c>
    </row>
    <row r="488">
      <c r="A488" s="1" t="str">
        <v>bq-18</v>
      </c>
      <c r="B488" s="1" t="str">
        <v>bq</v>
      </c>
      <c r="C488" s="1" t="str">
        <v>Judgment</v>
      </c>
      <c r="E488" s="1" t="str">
        <v>Tell me about a time you pushed back on a product requirement.</v>
      </c>
      <c r="G488" s="1">
        <v>0</v>
      </c>
      <c r="H488" s="1">
        <f>IFERROR(IF(B488="dsa",CHOOSE(G488+1,"Not started","Attempted","Solved with help","Solved unaided"),IF(OR(B488="bq",B488="res",B488="day"),CHOOSE(G488+1,"Not started","Done"),CHOOSE(G488+1,"Not started","In progress","Done"))),"invalid")</f>
      </c>
    </row>
    <row r="489">
      <c r="A489" s="1" t="str">
        <v>bq-19</v>
      </c>
      <c r="B489" s="1" t="str">
        <v>bq</v>
      </c>
      <c r="C489" s="1" t="str">
        <v>Growth</v>
      </c>
      <c r="E489" s="1" t="str">
        <v>Tell me about the hardest feedback you have received.</v>
      </c>
      <c r="G489" s="1">
        <v>0</v>
      </c>
      <c r="H489" s="1">
        <f>IFERROR(IF(B489="dsa",CHOOSE(G489+1,"Not started","Attempted","Solved with help","Solved unaided"),IF(OR(B489="bq",B489="res",B489="day"),CHOOSE(G489+1,"Not started","Done"),CHOOSE(G489+1,"Not started","In progress","Done"))),"invalid")</f>
      </c>
    </row>
    <row r="490">
      <c r="A490" s="1" t="str">
        <v>bq-20</v>
      </c>
      <c r="B490" s="1" t="str">
        <v>bq</v>
      </c>
      <c r="C490" s="1" t="str">
        <v>Growth</v>
      </c>
      <c r="E490" s="1" t="str">
        <v>Describe a time you had to learn an unfamiliar codebase or technology fast.</v>
      </c>
      <c r="G490" s="1">
        <v>0</v>
      </c>
      <c r="H490" s="1">
        <f>IFERROR(IF(B490="dsa",CHOOSE(G490+1,"Not started","Attempted","Solved with help","Solved unaided"),IF(OR(B490="bq",B490="res",B490="day"),CHOOSE(G490+1,"Not started","Done"),CHOOSE(G490+1,"Not started","In progress","Done"))),"invalid")</f>
      </c>
    </row>
    <row r="491">
      <c r="A491" s="1" t="str">
        <v>bq-21</v>
      </c>
      <c r="B491" s="1" t="str">
        <v>bq</v>
      </c>
      <c r="C491" s="1" t="str">
        <v>Growth</v>
      </c>
      <c r="E491" s="1" t="str">
        <v>Tell me about a time you changed your mind about a strongly held view.</v>
      </c>
      <c r="G491" s="1">
        <v>0</v>
      </c>
      <c r="H491" s="1">
        <f>IFERROR(IF(B491="dsa",CHOOSE(G491+1,"Not started","Attempted","Solved with help","Solved unaided"),IF(OR(B491="bq",B491="res",B491="day"),CHOOSE(G491+1,"Not started","Done"),CHOOSE(G491+1,"Not started","In progress","Done"))),"invalid")</f>
      </c>
    </row>
    <row r="492">
      <c r="A492" s="1" t="str">
        <v>bq-22</v>
      </c>
      <c r="B492" s="1" t="str">
        <v>bq</v>
      </c>
      <c r="C492" s="1" t="str">
        <v>Collaboration</v>
      </c>
      <c r="E492" s="1" t="str">
        <v>Tell me about working with a difficult cross-functional partner.</v>
      </c>
      <c r="G492" s="1">
        <v>0</v>
      </c>
      <c r="H492" s="1">
        <f>IFERROR(IF(B492="dsa",CHOOSE(G492+1,"Not started","Attempted","Solved with help","Solved unaided"),IF(OR(B492="bq",B492="res",B492="day"),CHOOSE(G492+1,"Not started","Done"),CHOOSE(G492+1,"Not started","In progress","Done"))),"invalid")</f>
      </c>
    </row>
    <row r="493">
      <c r="A493" s="1" t="str">
        <v>bq-23</v>
      </c>
      <c r="B493" s="1" t="str">
        <v>bq</v>
      </c>
      <c r="C493" s="1" t="str">
        <v>Collaboration</v>
      </c>
      <c r="E493" s="1" t="str">
        <v>Describe a time you had to align three or more teams.</v>
      </c>
      <c r="G493" s="1">
        <v>0</v>
      </c>
      <c r="H493" s="1">
        <f>IFERROR(IF(B493="dsa",CHOOSE(G493+1,"Not started","Attempted","Solved with help","Solved unaided"),IF(OR(B493="bq",B493="res",B493="day"),CHOOSE(G493+1,"Not started","Done"),CHOOSE(G493+1,"Not started","In progress","Done"))),"invalid")</f>
      </c>
    </row>
    <row r="494">
      <c r="A494" s="1" t="str">
        <v>bq-24</v>
      </c>
      <c r="B494" s="1" t="str">
        <v>bq</v>
      </c>
      <c r="C494" s="1" t="str">
        <v>User focus</v>
      </c>
      <c r="E494" s="1" t="str">
        <v>Tell me about a time you advocated for the end user.</v>
      </c>
      <c r="G494" s="1">
        <v>0</v>
      </c>
      <c r="H494" s="1">
        <f>IFERROR(IF(B494="dsa",CHOOSE(G494+1,"Not started","Attempted","Solved with help","Solved unaided"),IF(OR(B494="bq",B494="res",B494="day"),CHOOSE(G494+1,"Not started","Done"),CHOOSE(G494+1,"Not started","In progress","Done"))),"invalid")</f>
      </c>
    </row>
    <row r="495">
      <c r="A495" s="1" t="str">
        <v>bq-25</v>
      </c>
      <c r="B495" s="1" t="str">
        <v>bq</v>
      </c>
      <c r="C495" s="1" t="str">
        <v>Scenario</v>
      </c>
      <c r="E495" s="1" t="str">
        <v>Your team ships a bug to production on Friday evening. Walk me through what you do.</v>
      </c>
      <c r="G495" s="1">
        <v>0</v>
      </c>
      <c r="H495" s="1">
        <f>IFERROR(IF(B495="dsa",CHOOSE(G495+1,"Not started","Attempted","Solved with help","Solved unaided"),IF(OR(B495="bq",B495="res",B495="day"),CHOOSE(G495+1,"Not started","Done"),CHOOSE(G495+1,"Not started","In progress","Done"))),"invalid")</f>
      </c>
    </row>
    <row r="496">
      <c r="A496" s="1" t="str">
        <v>bq-26</v>
      </c>
      <c r="B496" s="1" t="str">
        <v>bq</v>
      </c>
      <c r="C496" s="1" t="str">
        <v>Scenario</v>
      </c>
      <c r="E496" s="1" t="str">
        <v>A teammate consistently submits code that does not meet the bar. What do you do?</v>
      </c>
      <c r="G496" s="1">
        <v>0</v>
      </c>
      <c r="H496" s="1">
        <f>IFERROR(IF(B496="dsa",CHOOSE(G496+1,"Not started","Attempted","Solved with help","Solved unaided"),IF(OR(B496="bq",B496="res",B496="day"),CHOOSE(G496+1,"Not started","Done"),CHOOSE(G496+1,"Not started","In progress","Done"))),"invalid")</f>
      </c>
    </row>
    <row r="497">
      <c r="A497" s="1" t="str">
        <v>bq-27</v>
      </c>
      <c r="B497" s="1" t="str">
        <v>bq</v>
      </c>
      <c r="C497" s="1" t="str">
        <v>Scenario</v>
      </c>
      <c r="E497" s="1" t="str">
        <v>You inherit a service with no tests and frequent outages. First 30 days?</v>
      </c>
      <c r="G497" s="1">
        <v>0</v>
      </c>
      <c r="H497" s="1">
        <f>IFERROR(IF(B497="dsa",CHOOSE(G497+1,"Not started","Attempted","Solved with help","Solved unaided"),IF(OR(B497="bq",B497="res",B497="day"),CHOOSE(G497+1,"Not started","Done"),CHOOSE(G497+1,"Not started","In progress","Done"))),"invalid")</f>
      </c>
    </row>
    <row r="498">
      <c r="A498" s="1" t="str">
        <v>bq-28</v>
      </c>
      <c r="B498" s="1" t="str">
        <v>bq</v>
      </c>
      <c r="C498" s="1" t="str">
        <v>Scenario</v>
      </c>
      <c r="E498" s="1" t="str">
        <v>Your manager asks for a feature you believe is technically wrong. What now?</v>
      </c>
      <c r="G498" s="1">
        <v>0</v>
      </c>
      <c r="H498" s="1">
        <f>IFERROR(IF(B498="dsa",CHOOSE(G498+1,"Not started","Attempted","Solved with help","Solved unaided"),IF(OR(B498="bq",B498="res",B498="day"),CHOOSE(G498+1,"Not started","Done"),CHOOSE(G498+1,"Not started","In progress","Done"))),"invalid")</f>
      </c>
    </row>
    <row r="499">
      <c r="A499" s="1" t="str">
        <v>bq-29</v>
      </c>
      <c r="B499" s="1" t="str">
        <v>bq</v>
      </c>
      <c r="C499" s="1" t="str">
        <v>Scenario</v>
      </c>
      <c r="E499" s="1" t="str">
        <v>You are 2 weeks from launch and discover a design flaw. What do you do?</v>
      </c>
      <c r="G499" s="1">
        <v>0</v>
      </c>
      <c r="H499" s="1">
        <f>IFERROR(IF(B499="dsa",CHOOSE(G499+1,"Not started","Attempted","Solved with help","Solved unaided"),IF(OR(B499="bq",B499="res",B499="day"),CHOOSE(G499+1,"Not started","Done"),CHOOSE(G499+1,"Not started","In progress","Done"))),"invalid")</f>
      </c>
    </row>
    <row r="500">
      <c r="A500" s="1" t="str">
        <v>bq-30</v>
      </c>
      <c r="B500" s="1" t="str">
        <v>bq</v>
      </c>
      <c r="C500" s="1" t="str">
        <v>Closing</v>
      </c>
      <c r="E500" s="1" t="str">
        <v>Why Google? Why this role, now?</v>
      </c>
      <c r="G500" s="1">
        <v>0</v>
      </c>
      <c r="H500" s="1">
        <f>IFERROR(IF(B500="dsa",CHOOSE(G500+1,"Not started","Attempted","Solved with help","Solved unaided"),IF(OR(B500="bq",B500="res",B500="day"),CHOOSE(G500+1,"Not started","Done"),CHOOSE(G500+1,"Not started","In progress","Done"))),"invalid")</f>
      </c>
    </row>
    <row r="501">
      <c r="A501" s="1" t="str">
        <v>res-1</v>
      </c>
      <c r="B501" s="1" t="str">
        <v>res</v>
      </c>
      <c r="C501" s="1" t="str">
        <v>Coding</v>
      </c>
      <c r="E501" s="1" t="str">
        <v>LeetCode Premium</v>
      </c>
      <c r="F501" s="1" t="str">
        <v>Subscription | ~$159/yr | priority High</v>
      </c>
      <c r="G501" s="1">
        <v>0</v>
      </c>
      <c r="H501" s="1">
        <f>IFERROR(IF(B501="dsa",CHOOSE(G501+1,"Not started","Attempted","Solved with help","Solved unaided"),IF(OR(B501="bq",B501="res",B501="day"),CHOOSE(G501+1,"Not started","Done"),CHOOSE(G501+1,"Not started","In progress","Done"))),"invalid")</f>
      </c>
      <c r="L501" s="1">
        <f>HYPERLINK("https://leetcode.com/subscribe/","Open source")</f>
      </c>
    </row>
    <row r="502">
      <c r="A502" s="1" t="str">
        <v>res-2</v>
      </c>
      <c r="B502" s="1" t="str">
        <v>res</v>
      </c>
      <c r="C502" s="1" t="str">
        <v>Coding</v>
      </c>
      <c r="E502" s="1" t="str">
        <v>NeetCode 150 / neetcode.io</v>
      </c>
      <c r="F502" s="1" t="str">
        <v>Free + Pro | Free tier | priority High</v>
      </c>
      <c r="G502" s="1">
        <v>0</v>
      </c>
      <c r="H502" s="1">
        <f>IFERROR(IF(B502="dsa",CHOOSE(G502+1,"Not started","Attempted","Solved with help","Solved unaided"),IF(OR(B502="bq",B502="res",B502="day"),CHOOSE(G502+1,"Not started","Done"),CHOOSE(G502+1,"Not started","In progress","Done"))),"invalid")</f>
      </c>
      <c r="L502" s="1">
        <f>HYPERLINK("https://neetcode.io/practice","Open source")</f>
      </c>
    </row>
    <row r="503">
      <c r="A503" s="1" t="str">
        <v>res-3</v>
      </c>
      <c r="B503" s="1" t="str">
        <v>res</v>
      </c>
      <c r="C503" s="1" t="str">
        <v>Coding</v>
      </c>
      <c r="E503" s="1" t="str">
        <v>Google Doc (blank)</v>
      </c>
      <c r="F503" s="1" t="str">
        <v>Free | Free | priority High</v>
      </c>
      <c r="G503" s="1">
        <v>0</v>
      </c>
      <c r="H503" s="1">
        <f>IFERROR(IF(B503="dsa",CHOOSE(G503+1,"Not started","Attempted","Solved with help","Solved unaided"),IF(OR(B503="bq",B503="res",B503="day"),CHOOSE(G503+1,"Not started","Done"),CHOOSE(G503+1,"Not started","In progress","Done"))),"invalid")</f>
      </c>
      <c r="L503" s="1">
        <f>HYPERLINK("https://docs.google.com","Open source")</f>
      </c>
    </row>
    <row r="504">
      <c r="A504" s="1" t="str">
        <v>res-4</v>
      </c>
      <c r="B504" s="1" t="str">
        <v>res</v>
      </c>
      <c r="C504" s="1" t="str">
        <v>Python</v>
      </c>
      <c r="E504" s="1" t="str">
        <v>Official Python Tutorial</v>
      </c>
      <c r="F504" s="1" t="str">
        <v>Docs | Free | priority High</v>
      </c>
      <c r="G504" s="1">
        <v>0</v>
      </c>
      <c r="H504" s="1">
        <f>IFERROR(IF(B504="dsa",CHOOSE(G504+1,"Not started","Attempted","Solved with help","Solved unaided"),IF(OR(B504="bq",B504="res",B504="day"),CHOOSE(G504+1,"Not started","Done"),CHOOSE(G504+1,"Not started","In progress","Done"))),"invalid")</f>
      </c>
      <c r="L504" s="1">
        <f>HYPERLINK("https://docs.python.org/3/tutorial/","Open source")</f>
      </c>
    </row>
    <row r="505">
      <c r="A505" s="1" t="str">
        <v>res-5</v>
      </c>
      <c r="B505" s="1" t="str">
        <v>res</v>
      </c>
      <c r="C505" s="1" t="str">
        <v>Python</v>
      </c>
      <c r="E505" s="1" t="str">
        <v>Fluent Python (Ramalho), latest ed.</v>
      </c>
      <c r="F505" s="1" t="str">
        <v>Book | ~$50 | priority High</v>
      </c>
      <c r="G505" s="1">
        <v>0</v>
      </c>
      <c r="H505" s="1">
        <f>IFERROR(IF(B505="dsa",CHOOSE(G505+1,"Not started","Attempted","Solved with help","Solved unaided"),IF(OR(B505="bq",B505="res",B505="day"),CHOOSE(G505+1,"Not started","Done"),CHOOSE(G505+1,"Not started","In progress","Done"))),"invalid")</f>
      </c>
      <c r="L505" s="1">
        <f>HYPERLINK("https://www.oreilly.com/library/view/fluent-python-2nd/9781492056348/","Open source")</f>
      </c>
    </row>
    <row r="506">
      <c r="A506" s="1" t="str">
        <v>res-6</v>
      </c>
      <c r="B506" s="1" t="str">
        <v>res</v>
      </c>
      <c r="C506" s="1" t="str">
        <v>Python</v>
      </c>
      <c r="E506" s="1" t="str">
        <v>Effective Python (Slatkin), latest ed.</v>
      </c>
      <c r="F506" s="1" t="str">
        <v>Book | ~$40 | priority Medium</v>
      </c>
      <c r="G506" s="1">
        <v>0</v>
      </c>
      <c r="H506" s="1">
        <f>IFERROR(IF(B506="dsa",CHOOSE(G506+1,"Not started","Attempted","Solved with help","Solved unaided"),IF(OR(B506="bq",B506="res",B506="day"),CHOOSE(G506+1,"Not started","Done"),CHOOSE(G506+1,"Not started","In progress","Done"))),"invalid")</f>
      </c>
      <c r="L506" s="1">
        <f>HYPERLINK("https://effectivepython.com/","Open source")</f>
      </c>
    </row>
    <row r="507">
      <c r="A507" s="1" t="str">
        <v>res-7</v>
      </c>
      <c r="B507" s="1" t="str">
        <v>res</v>
      </c>
      <c r="C507" s="1" t="str">
        <v>Python</v>
      </c>
      <c r="E507" s="1" t="str">
        <v>Real Python</v>
      </c>
      <c r="F507" s="1" t="str">
        <v>Site | Free + paid | priority Medium</v>
      </c>
      <c r="G507" s="1">
        <v>0</v>
      </c>
      <c r="H507" s="1">
        <f>IFERROR(IF(B507="dsa",CHOOSE(G507+1,"Not started","Attempted","Solved with help","Solved unaided"),IF(OR(B507="bq",B507="res",B507="day"),CHOOSE(G507+1,"Not started","Done"),CHOOSE(G507+1,"Not started","In progress","Done"))),"invalid")</f>
      </c>
      <c r="L507" s="1">
        <f>HYPERLINK("https://realpython.com/","Open source")</f>
      </c>
    </row>
    <row r="508">
      <c r="A508" s="1" t="str">
        <v>res-8</v>
      </c>
      <c r="B508" s="1" t="str">
        <v>res</v>
      </c>
      <c r="C508" s="1" t="str">
        <v>Python</v>
      </c>
      <c r="E508" s="1" t="str">
        <v>Python docs: collections, heapq, bisect, itertools, functools</v>
      </c>
      <c r="F508" s="1" t="str">
        <v>Docs | Free | priority High</v>
      </c>
      <c r="G508" s="1">
        <v>0</v>
      </c>
      <c r="H508" s="1">
        <f>IFERROR(IF(B508="dsa",CHOOSE(G508+1,"Not started","Attempted","Solved with help","Solved unaided"),IF(OR(B508="bq",B508="res",B508="day"),CHOOSE(G508+1,"Not started","Done"),CHOOSE(G508+1,"Not started","In progress","Done"))),"invalid")</f>
      </c>
      <c r="L508" s="1">
        <f>HYPERLINK("https://docs.python.org/3/library/","Open source")</f>
      </c>
    </row>
    <row r="509">
      <c r="A509" s="1" t="str">
        <v>res-9</v>
      </c>
      <c r="B509" s="1" t="str">
        <v>res</v>
      </c>
      <c r="C509" s="1" t="str">
        <v>System Design</v>
      </c>
      <c r="E509" s="1" t="str">
        <v>System Design Primer</v>
      </c>
      <c r="F509" s="1" t="str">
        <v>GitHub | Free | priority High</v>
      </c>
      <c r="G509" s="1">
        <v>0</v>
      </c>
      <c r="H509" s="1">
        <f>IFERROR(IF(B509="dsa",CHOOSE(G509+1,"Not started","Attempted","Solved with help","Solved unaided"),IF(OR(B509="bq",B509="res",B509="day"),CHOOSE(G509+1,"Not started","Done"),CHOOSE(G509+1,"Not started","In progress","Done"))),"invalid")</f>
      </c>
      <c r="L509" s="1">
        <f>HYPERLINK("https://github.com/donnemartin/system-design-primer","Open source")</f>
      </c>
    </row>
    <row r="510">
      <c r="A510" s="1" t="str">
        <v>res-10</v>
      </c>
      <c r="B510" s="1" t="str">
        <v>res</v>
      </c>
      <c r="C510" s="1" t="str">
        <v>System Design</v>
      </c>
      <c r="E510" s="1" t="str">
        <v>Hello Interview - System Design</v>
      </c>
      <c r="F510" s="1" t="str">
        <v>Site | Free + paid | priority High</v>
      </c>
      <c r="G510" s="1">
        <v>0</v>
      </c>
      <c r="H510" s="1">
        <f>IFERROR(IF(B510="dsa",CHOOSE(G510+1,"Not started","Attempted","Solved with help","Solved unaided"),IF(OR(B510="bq",B510="res",B510="day"),CHOOSE(G510+1,"Not started","Done"),CHOOSE(G510+1,"Not started","In progress","Done"))),"invalid")</f>
      </c>
      <c r="L510" s="1">
        <f>HYPERLINK("https://www.hellointerview.com/learn/system-design","Open source")</f>
      </c>
    </row>
    <row r="511">
      <c r="A511" s="1" t="str">
        <v>res-11</v>
      </c>
      <c r="B511" s="1" t="str">
        <v>res</v>
      </c>
      <c r="C511" s="1" t="str">
        <v>System Design</v>
      </c>
      <c r="E511" s="1" t="str">
        <v>System Design Interview Vol 1 &amp; 2 (Alex Xu)</v>
      </c>
      <c r="F511" s="1" t="str">
        <v>Books | ~$70 both | priority High</v>
      </c>
      <c r="G511" s="1">
        <v>0</v>
      </c>
      <c r="H511" s="1">
        <f>IFERROR(IF(B511="dsa",CHOOSE(G511+1,"Not started","Attempted","Solved with help","Solved unaided"),IF(OR(B511="bq",B511="res",B511="day"),CHOOSE(G511+1,"Not started","Done"),CHOOSE(G511+1,"Not started","In progress","Done"))),"invalid")</f>
      </c>
      <c r="L511" s="1">
        <f>HYPERLINK("https://bytebytego.com/","Open source")</f>
      </c>
    </row>
    <row r="512">
      <c r="A512" s="1" t="str">
        <v>res-12</v>
      </c>
      <c r="B512" s="1" t="str">
        <v>res</v>
      </c>
      <c r="C512" s="1" t="str">
        <v>System Design</v>
      </c>
      <c r="E512" s="1" t="str">
        <v>Designing Data-Intensive Applications (Kleppmann)</v>
      </c>
      <c r="F512" s="1" t="str">
        <v>Book | ~$50 | priority High</v>
      </c>
      <c r="G512" s="1">
        <v>0</v>
      </c>
      <c r="H512" s="1">
        <f>IFERROR(IF(B512="dsa",CHOOSE(G512+1,"Not started","Attempted","Solved with help","Solved unaided"),IF(OR(B512="bq",B512="res",B512="day"),CHOOSE(G512+1,"Not started","Done"),CHOOSE(G512+1,"Not started","In progress","Done"))),"invalid")</f>
      </c>
      <c r="L512" s="1">
        <f>HYPERLINK("https://dataintensive.net/","Open source")</f>
      </c>
    </row>
    <row r="513">
      <c r="A513" s="1" t="str">
        <v>res-13</v>
      </c>
      <c r="B513" s="1" t="str">
        <v>res</v>
      </c>
      <c r="C513" s="1" t="str">
        <v>System Design</v>
      </c>
      <c r="E513" s="1" t="str">
        <v>Google SRE Book</v>
      </c>
      <c r="F513" s="1" t="str">
        <v>Book | Free online | priority Medium</v>
      </c>
      <c r="G513" s="1">
        <v>0</v>
      </c>
      <c r="H513" s="1">
        <f>IFERROR(IF(B513="dsa",CHOOSE(G513+1,"Not started","Attempted","Solved with help","Solved unaided"),IF(OR(B513="bq",B513="res",B513="day"),CHOOSE(G513+1,"Not started","Done"),CHOOSE(G513+1,"Not started","In progress","Done"))),"invalid")</f>
      </c>
      <c r="L513" s="1">
        <f>HYPERLINK("https://sre.google/books/","Open source")</f>
      </c>
    </row>
    <row r="514">
      <c r="A514" s="1" t="str">
        <v>res-14</v>
      </c>
      <c r="B514" s="1" t="str">
        <v>res</v>
      </c>
      <c r="C514" s="1" t="str">
        <v>System Design</v>
      </c>
      <c r="E514" s="1" t="str">
        <v>Grokking the System Design Interview</v>
      </c>
      <c r="F514" s="1" t="str">
        <v>Course | ~$79+ | priority Optional</v>
      </c>
      <c r="G514" s="1">
        <v>0</v>
      </c>
      <c r="H514" s="1">
        <f>IFERROR(IF(B514="dsa",CHOOSE(G514+1,"Not started","Attempted","Solved with help","Solved unaided"),IF(OR(B514="bq",B514="res",B514="day"),CHOOSE(G514+1,"Not started","Done"),CHOOSE(G514+1,"Not started","In progress","Done"))),"invalid")</f>
      </c>
      <c r="L514" s="1">
        <f>HYPERLINK("https://www.designgurus.io/course/grokking-the-system-design-interview","Open source")</f>
      </c>
    </row>
    <row r="515">
      <c r="A515" s="1" t="str">
        <v>res-15</v>
      </c>
      <c r="B515" s="1" t="str">
        <v>res</v>
      </c>
      <c r="C515" s="1" t="str">
        <v>LLD / OOP</v>
      </c>
      <c r="E515" s="1" t="str">
        <v>Refactoring Guru</v>
      </c>
      <c r="F515" s="1" t="str">
        <v>Site | Free | priority High</v>
      </c>
      <c r="G515" s="1">
        <v>0</v>
      </c>
      <c r="H515" s="1">
        <f>IFERROR(IF(B515="dsa",CHOOSE(G515+1,"Not started","Attempted","Solved with help","Solved unaided"),IF(OR(B515="bq",B515="res",B515="day"),CHOOSE(G515+1,"Not started","Done"),CHOOSE(G515+1,"Not started","In progress","Done"))),"invalid")</f>
      </c>
      <c r="L515" s="1">
        <f>HYPERLINK("https://refactoring.guru/design-patterns","Open source")</f>
      </c>
    </row>
    <row r="516">
      <c r="A516" s="1" t="str">
        <v>res-16</v>
      </c>
      <c r="B516" s="1" t="str">
        <v>res</v>
      </c>
      <c r="C516" s="1" t="str">
        <v>LLD / OOP</v>
      </c>
      <c r="E516" s="1" t="str">
        <v>awesome-low-level-design</v>
      </c>
      <c r="F516" s="1" t="str">
        <v>GitHub | Free | priority Medium</v>
      </c>
      <c r="G516" s="1">
        <v>0</v>
      </c>
      <c r="H516" s="1">
        <f>IFERROR(IF(B516="dsa",CHOOSE(G516+1,"Not started","Attempted","Solved with help","Solved unaided"),IF(OR(B516="bq",B516="res",B516="day"),CHOOSE(G516+1,"Not started","Done"),CHOOSE(G516+1,"Not started","In progress","Done"))),"invalid")</f>
      </c>
      <c r="L516" s="1">
        <f>HYPERLINK("https://github.com/ashishps1/awesome-low-level-design","Open source")</f>
      </c>
    </row>
    <row r="517">
      <c r="A517" s="1" t="str">
        <v>res-17</v>
      </c>
      <c r="B517" s="1" t="str">
        <v>res</v>
      </c>
      <c r="C517" s="1" t="str">
        <v>LLD / OOP</v>
      </c>
      <c r="E517" s="1" t="str">
        <v>Head First Design Patterns</v>
      </c>
      <c r="F517" s="1" t="str">
        <v>Book | ~$45 | priority Optional</v>
      </c>
      <c r="G517" s="1">
        <v>0</v>
      </c>
      <c r="H517" s="1">
        <f>IFERROR(IF(B517="dsa",CHOOSE(G517+1,"Not started","Attempted","Solved with help","Solved unaided"),IF(OR(B517="bq",B517="res",B517="day"),CHOOSE(G517+1,"Not started","Done"),CHOOSE(G517+1,"Not started","In progress","Done"))),"invalid")</f>
      </c>
      <c r="L517" s="1">
        <f>HYPERLINK("https://www.oreilly.com/library/view/head-first-design/9781492077992/","Open source")</f>
      </c>
    </row>
    <row r="518">
      <c r="A518" s="1" t="str">
        <v>res-18</v>
      </c>
      <c r="B518" s="1" t="str">
        <v>res</v>
      </c>
      <c r="C518" s="1" t="str">
        <v>Behavioural</v>
      </c>
      <c r="E518" s="1" t="str">
        <v>Google - How We Hire</v>
      </c>
      <c r="F518" s="1" t="str">
        <v>Site | Free | priority High</v>
      </c>
      <c r="G518" s="1">
        <v>0</v>
      </c>
      <c r="H518" s="1">
        <f>IFERROR(IF(B518="dsa",CHOOSE(G518+1,"Not started","Attempted","Solved with help","Solved unaided"),IF(OR(B518="bq",B518="res",B518="day"),CHOOSE(G518+1,"Not started","Done"),CHOOSE(G518+1,"Not started","In progress","Done"))),"invalid")</f>
      </c>
      <c r="L518" s="1">
        <f>HYPERLINK("https://www.google.com/about/careers/applications/how-we-hire/","Open source")</f>
      </c>
    </row>
    <row r="519">
      <c r="A519" s="1" t="str">
        <v>res-19</v>
      </c>
      <c r="B519" s="1" t="str">
        <v>res</v>
      </c>
      <c r="C519" s="1" t="str">
        <v>Behavioural</v>
      </c>
      <c r="E519" s="1" t="str">
        <v>IGotAnOffer - Google L5 guide</v>
      </c>
      <c r="F519" s="1" t="str">
        <v>Site | Free + paid | priority Medium</v>
      </c>
      <c r="G519" s="1">
        <v>0</v>
      </c>
      <c r="H519" s="1">
        <f>IFERROR(IF(B519="dsa",CHOOSE(G519+1,"Not started","Attempted","Solved with help","Solved unaided"),IF(OR(B519="bq",B519="res",B519="day"),CHOOSE(G519+1,"Not started","Done"),CHOOSE(G519+1,"Not started","In progress","Done"))),"invalid")</f>
      </c>
      <c r="L519" s="1">
        <f>HYPERLINK("https://igotanoffer.com/en/advice/google-l5-interview","Open source")</f>
      </c>
    </row>
    <row r="520">
      <c r="A520" s="1" t="str">
        <v>res-20</v>
      </c>
      <c r="B520" s="1" t="str">
        <v>res</v>
      </c>
      <c r="C520" s="1" t="str">
        <v>Mocks</v>
      </c>
      <c r="E520" s="1" t="str">
        <v>Pramp / Exponent peer mocks</v>
      </c>
      <c r="F520" s="1" t="str">
        <v>Site | Free tier | priority High</v>
      </c>
      <c r="G520" s="1">
        <v>0</v>
      </c>
      <c r="H520" s="1">
        <f>IFERROR(IF(B520="dsa",CHOOSE(G520+1,"Not started","Attempted","Solved with help","Solved unaided"),IF(OR(B520="bq",B520="res",B520="day"),CHOOSE(G520+1,"Not started","Done"),CHOOSE(G520+1,"Not started","In progress","Done"))),"invalid")</f>
      </c>
      <c r="L520" s="1">
        <f>HYPERLINK("https://www.pramp.com/","Open source")</f>
      </c>
    </row>
    <row r="521">
      <c r="A521" s="1" t="str">
        <v>res-21</v>
      </c>
      <c r="B521" s="1" t="str">
        <v>res</v>
      </c>
      <c r="C521" s="1" t="str">
        <v>Mocks</v>
      </c>
      <c r="E521" s="1" t="str">
        <v>interviewing.io</v>
      </c>
      <c r="F521" s="1" t="str">
        <v>Site | Paid | priority Medium</v>
      </c>
      <c r="G521" s="1">
        <v>0</v>
      </c>
      <c r="H521" s="1">
        <f>IFERROR(IF(B521="dsa",CHOOSE(G521+1,"Not started","Attempted","Solved with help","Solved unaided"),IF(OR(B521="bq",B521="res",B521="day"),CHOOSE(G521+1,"Not started","Done"),CHOOSE(G521+1,"Not started","In progress","Done"))),"invalid")</f>
      </c>
      <c r="L521" s="1">
        <f>HYPERLINK("https://interviewing.io/","Open source")</f>
      </c>
    </row>
    <row r="522">
      <c r="A522" s="1" t="str">
        <v>res-22</v>
      </c>
      <c r="B522" s="1" t="str">
        <v>res</v>
      </c>
      <c r="C522" s="1" t="str">
        <v>Tracking</v>
      </c>
      <c r="E522" s="1" t="str">
        <v>Anki</v>
      </c>
      <c r="F522" s="1" t="str">
        <v>App | Free | priority Medium</v>
      </c>
      <c r="G522" s="1">
        <v>0</v>
      </c>
      <c r="H522" s="1">
        <f>IFERROR(IF(B522="dsa",CHOOSE(G522+1,"Not started","Attempted","Solved with help","Solved unaided"),IF(OR(B522="bq",B522="res",B522="day"),CHOOSE(G522+1,"Not started","Done"),CHOOSE(G522+1,"Not started","In progress","Done"))),"invalid")</f>
      </c>
      <c r="L522" s="1">
        <f>HYPERLINK("https://apps.ankiweb.net/","Open source")</f>
      </c>
    </row>
  </sheetData>
  <autoFilter ref="A1:L522"/>
  <ignoredErrors>
    <ignoredError numberStoredAsText="1" sqref="A1:L5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62.83203125" customWidth="1"/>
    <col min="3" max="3" width="66.83203125" customWidth="1"/>
  </cols>
  <sheetData>
    <row r="1">
      <c r="A1" s="1" t="str">
        <v>key</v>
      </c>
      <c r="B1" s="1" t="str">
        <v>value</v>
      </c>
      <c r="C1" s="1" t="str">
        <v>notes</v>
      </c>
    </row>
    <row r="2">
      <c r="A2" s="1" t="str">
        <v>schema</v>
      </c>
      <c r="B2" s="1" t="str">
        <v>l5-tracker-v2</v>
      </c>
      <c r="C2" s="1" t="str">
        <v>Do not change. The dashboard checks this.</v>
      </c>
    </row>
    <row r="3">
      <c r="A3" s="1" t="str">
        <v>startDate</v>
      </c>
      <c r="B3" s="1" t="str">
        <v>2026-08-31</v>
      </c>
      <c r="C3" s="1" t="str">
        <v>YYYY-MM-DD. Edit here or in the dashboard; every date derives from it.</v>
      </c>
    </row>
    <row r="4">
      <c r="A4" s="1" t="str">
        <v>savedAt</v>
      </c>
      <c r="B4" s="1" t="str">
        <v>2026-09-05 18:17:48</v>
      </c>
      <c r="C4" s="1" t="str">
        <v>UTC. Written on every save.</v>
      </c>
    </row>
    <row r="5">
      <c r="A5" s="1" t="str">
        <v>weeks</v>
      </c>
      <c r="B5" s="1">
        <v>23</v>
      </c>
    </row>
    <row r="6">
      <c r="A6" s="1" t="str">
        <v>sessions</v>
      </c>
      <c r="B6" s="1">
        <v>161</v>
      </c>
    </row>
    <row r="7">
      <c r="A7" s="1" t="str">
        <v>plannedHours</v>
      </c>
      <c r="B7" s="1">
        <v>471.5</v>
      </c>
    </row>
    <row r="9">
      <c r="A9" s="1" t="str">
        <v>STATUS CODES</v>
      </c>
      <c r="C9" s="1" t="str">
        <v>Edit the status column on the State sheet, then reload in the dashboard.</v>
      </c>
    </row>
    <row r="10">
      <c r="A10" s="1" t="str">
        <v>dsa</v>
      </c>
      <c r="B10" s="1" t="str">
        <v>0 not started, 1 attempted, 2 solved with help, 3 solved unaided</v>
      </c>
    </row>
    <row r="11">
      <c r="A11" s="1" t="str">
        <v>py / sd / lld / star / wk</v>
      </c>
      <c r="B11" s="1" t="str">
        <v>0 not started, 1 in progress, 2 done</v>
      </c>
    </row>
    <row r="12">
      <c r="A12" s="1" t="str">
        <v>bq / res / day</v>
      </c>
      <c r="B12" s="1" t="str">
        <v>0 not done, 1 done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34.83203125" customWidth="1"/>
    <col min="2" max="2" width="62.83203125" customWidth="1"/>
    <col min="3" max="3" width="9.83203125" customWidth="1"/>
    <col min="4" max="4" width="9.83203125" customWidth="1"/>
    <col min="5" max="5" width="11.83203125" customWidth="1"/>
  </cols>
  <sheetData>
    <row r="1">
      <c r="A1" s="1" t="str">
        <v>Google L5 preparation — progress</v>
      </c>
    </row>
    <row r="2">
      <c r="A2" s="1" t="str">
        <v>Start date</v>
      </c>
      <c r="B2" s="1">
        <f>'Settings'!B3</f>
      </c>
    </row>
    <row r="3">
      <c r="A3" s="1" t="str">
        <v>Planned hours</v>
      </c>
      <c r="B3" s="1">
        <v>471.5</v>
      </c>
    </row>
    <row r="4">
      <c r="A4" s="1" t="str">
        <v>Hours logged</v>
      </c>
      <c r="B4" s="2">
        <f>SUM('State'!I2:I522)</f>
      </c>
    </row>
    <row r="5">
      <c r="A5" s="1" t="str">
        <v>Problems logged as solved in sessions</v>
      </c>
      <c r="B5" s="1">
        <f>SUM('State'!J2:J522)</f>
      </c>
    </row>
    <row r="7">
      <c r="A7" s="1" t="str">
        <v>Track</v>
      </c>
      <c r="B7" s="1" t="str">
        <v>Counts as done when</v>
      </c>
      <c r="C7" s="1" t="str">
        <v>Total</v>
      </c>
      <c r="D7" s="1" t="str">
        <v>Done</v>
      </c>
      <c r="E7" s="1" t="str">
        <v>Complete</v>
      </c>
    </row>
    <row r="8">
      <c r="A8" s="1" t="str">
        <v>DSA problems</v>
      </c>
      <c r="B8" s="1" t="str">
        <v>status &gt;= 3 (Solved unaided)</v>
      </c>
      <c r="C8" s="1">
        <f>COUNTIF('State'!B2:B522,"dsa")</f>
      </c>
      <c r="D8" s="1">
        <f>COUNTIFS('State'!B2:B522,"dsa",'State'!G2:G522,"&gt;=3")</f>
      </c>
      <c r="E8" s="3">
        <f>IFERROR(D8/C8,0)</f>
      </c>
    </row>
    <row r="9">
      <c r="A9" s="1" t="str">
        <v>System design</v>
      </c>
      <c r="B9" s="1" t="str">
        <v>status &gt;= 2 (Done)</v>
      </c>
      <c r="C9" s="1">
        <f>COUNTIF('State'!B2:B522,"sd")</f>
      </c>
      <c r="D9" s="1">
        <f>COUNTIFS('State'!B2:B522,"sd",'State'!G2:G522,"&gt;=2")</f>
      </c>
      <c r="E9" s="3">
        <f>IFERROR(D9/C9,0)</f>
      </c>
    </row>
    <row r="10">
      <c r="A10" s="1" t="str">
        <v>Python migration</v>
      </c>
      <c r="B10" s="1" t="str">
        <v>status &gt;= 2 (Done)</v>
      </c>
      <c r="C10" s="1">
        <f>COUNTIF('State'!B2:B522,"py")</f>
      </c>
      <c r="D10" s="1">
        <f>COUNTIFS('State'!B2:B522,"py",'State'!G2:G522,"&gt;=2")</f>
      </c>
      <c r="E10" s="3">
        <f>IFERROR(D10/C10,0)</f>
      </c>
    </row>
    <row r="11">
      <c r="A11" s="1" t="str">
        <v>LLD and OOP</v>
      </c>
      <c r="B11" s="1" t="str">
        <v>status &gt;= 2 (Done)</v>
      </c>
      <c r="C11" s="1">
        <f>COUNTIF('State'!B2:B522,"lld")</f>
      </c>
      <c r="D11" s="1">
        <f>COUNTIFS('State'!B2:B522,"lld",'State'!G2:G522,"&gt;=2")</f>
      </c>
      <c r="E11" s="3">
        <f>IFERROR(D11/C11,0)</f>
      </c>
    </row>
    <row r="12">
      <c r="A12" s="1" t="str">
        <v>STAR stories</v>
      </c>
      <c r="B12" s="1" t="str">
        <v>status &gt;= 2 (Rehearsed x3)</v>
      </c>
      <c r="C12" s="1">
        <f>COUNTIF('State'!B2:B522,"star")</f>
      </c>
      <c r="D12" s="1">
        <f>COUNTIFS('State'!B2:B522,"star",'State'!G2:G522,"&gt;=2")</f>
      </c>
      <c r="E12" s="3">
        <f>IFERROR(D12/C12,0)</f>
      </c>
    </row>
    <row r="13">
      <c r="A13" s="1" t="str">
        <v>Behavioural questions</v>
      </c>
      <c r="B13" s="1" t="str">
        <v>status &gt;= 1 (Rehearsed)</v>
      </c>
      <c r="C13" s="1">
        <f>COUNTIF('State'!B2:B522,"bq")</f>
      </c>
      <c r="D13" s="1">
        <f>COUNTIFS('State'!B2:B522,"bq",'State'!G2:G522,"&gt;=1")</f>
      </c>
      <c r="E13" s="3">
        <f>IFERROR(D13/C13,0)</f>
      </c>
    </row>
    <row r="14">
      <c r="A14" s="1" t="str">
        <v>Weeks</v>
      </c>
      <c r="B14" s="1" t="str">
        <v>status &gt;= 2 (Done)</v>
      </c>
      <c r="C14" s="1">
        <f>COUNTIF('State'!B2:B522,"wk")</f>
      </c>
      <c r="D14" s="1">
        <f>COUNTIFS('State'!B2:B522,"wk",'State'!G2:G522,"&gt;=2")</f>
      </c>
      <c r="E14" s="3">
        <f>IFERROR(D14/C14,0)</f>
      </c>
    </row>
    <row r="15">
      <c r="A15" s="1" t="str">
        <v>Sessions</v>
      </c>
      <c r="B15" s="1" t="str">
        <v>status &gt;= 1 (Done)</v>
      </c>
      <c r="C15" s="1">
        <f>COUNTIF('State'!B2:B522,"day")</f>
      </c>
      <c r="D15" s="1">
        <f>COUNTIFS('State'!B2:B522,"day",'State'!G2:G522,"&gt;=1")</f>
      </c>
      <c r="E15" s="3">
        <f>IFERROR(D15/C15,0)</f>
      </c>
    </row>
    <row r="16">
      <c r="A16" s="1" t="str">
        <v>Resources</v>
      </c>
      <c r="B16" s="1" t="str">
        <v>status &gt;= 1 (Acquired)</v>
      </c>
      <c r="C16" s="1">
        <f>COUNTIF('State'!B2:B522,"res")</f>
      </c>
      <c r="D16" s="1">
        <f>COUNTIFS('State'!B2:B522,"res",'State'!G2:G522,"&gt;=1")</f>
      </c>
      <c r="E16" s="3">
        <f>IFERROR(D16/C16,0)</f>
      </c>
    </row>
    <row r="18">
      <c r="A18" s="1" t="str">
        <v>Overall readiness</v>
      </c>
      <c r="B18" s="1" t="str">
        <v>DSA 40, design 30, Python 10, stories 10, questions 5, LLD 5</v>
      </c>
      <c r="E18" s="3">
        <f>E8*0.4+E9*0.3+E10*0.1+E12*0.1+E13*0.05+E11*0.05</f>
      </c>
    </row>
    <row r="20">
      <c r="A20" s="1" t="str">
        <v>DSA by pattern</v>
      </c>
      <c r="C20" s="1" t="str">
        <v>Total</v>
      </c>
      <c r="D20" s="1" t="str">
        <v>Unaided</v>
      </c>
      <c r="E20" s="1" t="str">
        <v>Complete</v>
      </c>
    </row>
    <row r="21">
      <c r="A21" s="1" t="str">
        <v>Python reps</v>
      </c>
      <c r="B21" s="1" t="str">
        <v>week 1</v>
      </c>
      <c r="C21" s="1">
        <f>COUNTIFS('State'!B2:B522,"dsa",'State'!C2:C522,A21)</f>
      </c>
      <c r="D21" s="1">
        <f>COUNTIFS('State'!B2:B522,"dsa",'State'!C2:C522,A21,'State'!G2:G522,"&gt;=3")</f>
      </c>
      <c r="E21" s="3">
        <f>IFERROR(D21/C21,0)</f>
      </c>
    </row>
    <row r="22">
      <c r="A22" s="1" t="str">
        <v>Arrays &amp; Hashing</v>
      </c>
      <c r="B22" s="1" t="str">
        <v>week 4</v>
      </c>
      <c r="C22" s="1">
        <f>COUNTIFS('State'!B2:B522,"dsa",'State'!C2:C522,A22)</f>
      </c>
      <c r="D22" s="1">
        <f>COUNTIFS('State'!B2:B522,"dsa",'State'!C2:C522,A22,'State'!G2:G522,"&gt;=3")</f>
      </c>
      <c r="E22" s="3">
        <f>IFERROR(D22/C22,0)</f>
      </c>
    </row>
    <row r="23">
      <c r="A23" s="1" t="str">
        <v>Two Pointers</v>
      </c>
      <c r="B23" s="1" t="str">
        <v>week 5</v>
      </c>
      <c r="C23" s="1">
        <f>COUNTIFS('State'!B2:B522,"dsa",'State'!C2:C522,A23)</f>
      </c>
      <c r="D23" s="1">
        <f>COUNTIFS('State'!B2:B522,"dsa",'State'!C2:C522,A23,'State'!G2:G522,"&gt;=3")</f>
      </c>
      <c r="E23" s="3">
        <f>IFERROR(D23/C23,0)</f>
      </c>
    </row>
    <row r="24">
      <c r="A24" s="1" t="str">
        <v>Sliding Window</v>
      </c>
      <c r="B24" s="1" t="str">
        <v>week 5</v>
      </c>
      <c r="C24" s="1">
        <f>COUNTIFS('State'!B2:B522,"dsa",'State'!C2:C522,A24)</f>
      </c>
      <c r="D24" s="1">
        <f>COUNTIFS('State'!B2:B522,"dsa",'State'!C2:C522,A24,'State'!G2:G522,"&gt;=3")</f>
      </c>
      <c r="E24" s="3">
        <f>IFERROR(D24/C24,0)</f>
      </c>
    </row>
    <row r="25">
      <c r="A25" s="1" t="str">
        <v>Stack</v>
      </c>
      <c r="B25" s="1" t="str">
        <v>week 6</v>
      </c>
      <c r="C25" s="1">
        <f>COUNTIFS('State'!B2:B522,"dsa",'State'!C2:C522,A25)</f>
      </c>
      <c r="D25" s="1">
        <f>COUNTIFS('State'!B2:B522,"dsa",'State'!C2:C522,A25,'State'!G2:G522,"&gt;=3")</f>
      </c>
      <c r="E25" s="3">
        <f>IFERROR(D25/C25,0)</f>
      </c>
    </row>
    <row r="26">
      <c r="A26" s="1" t="str">
        <v>Monotonic Stack</v>
      </c>
      <c r="B26" s="1" t="str">
        <v>week 6</v>
      </c>
      <c r="C26" s="1">
        <f>COUNTIFS('State'!B2:B522,"dsa",'State'!C2:C522,A26)</f>
      </c>
      <c r="D26" s="1">
        <f>COUNTIFS('State'!B2:B522,"dsa",'State'!C2:C522,A26,'State'!G2:G522,"&gt;=3")</f>
      </c>
      <c r="E26" s="3">
        <f>IFERROR(D26/C26,0)</f>
      </c>
    </row>
    <row r="27">
      <c r="A27" s="1" t="str">
        <v>Binary Search</v>
      </c>
      <c r="B27" s="1" t="str">
        <v>week 7</v>
      </c>
      <c r="C27" s="1">
        <f>COUNTIFS('State'!B2:B522,"dsa",'State'!C2:C522,A27)</f>
      </c>
      <c r="D27" s="1">
        <f>COUNTIFS('State'!B2:B522,"dsa",'State'!C2:C522,A27,'State'!G2:G522,"&gt;=3")</f>
      </c>
      <c r="E27" s="3">
        <f>IFERROR(D27/C27,0)</f>
      </c>
    </row>
    <row r="28">
      <c r="A28" s="1" t="str">
        <v>Linked List</v>
      </c>
      <c r="B28" s="1" t="str">
        <v>week 8</v>
      </c>
      <c r="C28" s="1">
        <f>COUNTIFS('State'!B2:B522,"dsa",'State'!C2:C522,A28)</f>
      </c>
      <c r="D28" s="1">
        <f>COUNTIFS('State'!B2:B522,"dsa",'State'!C2:C522,A28,'State'!G2:G522,"&gt;=3")</f>
      </c>
      <c r="E28" s="3">
        <f>IFERROR(D28/C28,0)</f>
      </c>
    </row>
    <row r="29">
      <c r="A29" s="1" t="str">
        <v>Trees</v>
      </c>
      <c r="B29" s="1" t="str">
        <v>week 9</v>
      </c>
      <c r="C29" s="1">
        <f>COUNTIFS('State'!B2:B522,"dsa",'State'!C2:C522,A29)</f>
      </c>
      <c r="D29" s="1">
        <f>COUNTIFS('State'!B2:B522,"dsa",'State'!C2:C522,A29,'State'!G2:G522,"&gt;=3")</f>
      </c>
      <c r="E29" s="3">
        <f>IFERROR(D29/C29,0)</f>
      </c>
    </row>
    <row r="30">
      <c r="A30" s="1" t="str">
        <v>Tries</v>
      </c>
      <c r="B30" s="1" t="str">
        <v>week 10</v>
      </c>
      <c r="C30" s="1">
        <f>COUNTIFS('State'!B2:B522,"dsa",'State'!C2:C522,A30)</f>
      </c>
      <c r="D30" s="1">
        <f>COUNTIFS('State'!B2:B522,"dsa",'State'!C2:C522,A30,'State'!G2:G522,"&gt;=3")</f>
      </c>
      <c r="E30" s="3">
        <f>IFERROR(D30/C30,0)</f>
      </c>
    </row>
    <row r="31">
      <c r="A31" s="1" t="str">
        <v>Heap</v>
      </c>
      <c r="B31" s="1" t="str">
        <v>week 10</v>
      </c>
      <c r="C31" s="1">
        <f>COUNTIFS('State'!B2:B522,"dsa",'State'!C2:C522,A31)</f>
      </c>
      <c r="D31" s="1">
        <f>COUNTIFS('State'!B2:B522,"dsa",'State'!C2:C522,A31,'State'!G2:G522,"&gt;=3")</f>
      </c>
      <c r="E31" s="3">
        <f>IFERROR(D31/C31,0)</f>
      </c>
    </row>
    <row r="32">
      <c r="A32" s="1" t="str">
        <v>Backtracking</v>
      </c>
      <c r="B32" s="1" t="str">
        <v>week 11</v>
      </c>
      <c r="C32" s="1">
        <f>COUNTIFS('State'!B2:B522,"dsa",'State'!C2:C522,A32)</f>
      </c>
      <c r="D32" s="1">
        <f>COUNTIFS('State'!B2:B522,"dsa",'State'!C2:C522,A32,'State'!G2:G522,"&gt;=3")</f>
      </c>
      <c r="E32" s="3">
        <f>IFERROR(D32/C32,0)</f>
      </c>
    </row>
    <row r="33">
      <c r="A33" s="1" t="str">
        <v>Graphs</v>
      </c>
      <c r="B33" s="1" t="str">
        <v>week 12</v>
      </c>
      <c r="C33" s="1">
        <f>COUNTIFS('State'!B2:B522,"dsa",'State'!C2:C522,A33)</f>
      </c>
      <c r="D33" s="1">
        <f>COUNTIFS('State'!B2:B522,"dsa",'State'!C2:C522,A33,'State'!G2:G522,"&gt;=3")</f>
      </c>
      <c r="E33" s="3">
        <f>IFERROR(D33/C33,0)</f>
      </c>
    </row>
    <row r="34">
      <c r="A34" s="1" t="str">
        <v>Topological Sort</v>
      </c>
      <c r="B34" s="1" t="str">
        <v>week 13</v>
      </c>
      <c r="C34" s="1">
        <f>COUNTIFS('State'!B2:B522,"dsa",'State'!C2:C522,A34)</f>
      </c>
      <c r="D34" s="1">
        <f>COUNTIFS('State'!B2:B522,"dsa",'State'!C2:C522,A34,'State'!G2:G522,"&gt;=3")</f>
      </c>
      <c r="E34" s="3">
        <f>IFERROR(D34/C34,0)</f>
      </c>
    </row>
    <row r="35">
      <c r="A35" s="1" t="str">
        <v>Union-Find</v>
      </c>
      <c r="B35" s="1" t="str">
        <v>week 13</v>
      </c>
      <c r="C35" s="1">
        <f>COUNTIFS('State'!B2:B522,"dsa",'State'!C2:C522,A35)</f>
      </c>
      <c r="D35" s="1">
        <f>COUNTIFS('State'!B2:B522,"dsa",'State'!C2:C522,A35,'State'!G2:G522,"&gt;=3")</f>
      </c>
      <c r="E35" s="3">
        <f>IFERROR(D35/C35,0)</f>
      </c>
    </row>
    <row r="36">
      <c r="A36" s="1" t="str">
        <v>Advanced Graphs</v>
      </c>
      <c r="B36" s="1" t="str">
        <v>week 13</v>
      </c>
      <c r="C36" s="1">
        <f>COUNTIFS('State'!B2:B522,"dsa",'State'!C2:C522,A36)</f>
      </c>
      <c r="D36" s="1">
        <f>COUNTIFS('State'!B2:B522,"dsa",'State'!C2:C522,A36,'State'!G2:G522,"&gt;=3")</f>
      </c>
      <c r="E36" s="3">
        <f>IFERROR(D36/C36,0)</f>
      </c>
    </row>
    <row r="37">
      <c r="A37" s="1" t="str">
        <v>1-D DP</v>
      </c>
      <c r="B37" s="1" t="str">
        <v>week 14</v>
      </c>
      <c r="C37" s="1">
        <f>COUNTIFS('State'!B2:B522,"dsa",'State'!C2:C522,A37)</f>
      </c>
      <c r="D37" s="1">
        <f>COUNTIFS('State'!B2:B522,"dsa",'State'!C2:C522,A37,'State'!G2:G522,"&gt;=3")</f>
      </c>
      <c r="E37" s="3">
        <f>IFERROR(D37/C37,0)</f>
      </c>
    </row>
    <row r="38">
      <c r="A38" s="1" t="str">
        <v>2-D DP</v>
      </c>
      <c r="B38" s="1" t="str">
        <v>week 15</v>
      </c>
      <c r="C38" s="1">
        <f>COUNTIFS('State'!B2:B522,"dsa",'State'!C2:C522,A38)</f>
      </c>
      <c r="D38" s="1">
        <f>COUNTIFS('State'!B2:B522,"dsa",'State'!C2:C522,A38,'State'!G2:G522,"&gt;=3")</f>
      </c>
      <c r="E38" s="3">
        <f>IFERROR(D38/C38,0)</f>
      </c>
    </row>
    <row r="39">
      <c r="A39" s="1" t="str">
        <v>Greedy</v>
      </c>
      <c r="B39" s="1" t="str">
        <v>week 16</v>
      </c>
      <c r="C39" s="1">
        <f>COUNTIFS('State'!B2:B522,"dsa",'State'!C2:C522,A39)</f>
      </c>
      <c r="D39" s="1">
        <f>COUNTIFS('State'!B2:B522,"dsa",'State'!C2:C522,A39,'State'!G2:G522,"&gt;=3")</f>
      </c>
      <c r="E39" s="3">
        <f>IFERROR(D39/C39,0)</f>
      </c>
    </row>
    <row r="40">
      <c r="A40" s="1" t="str">
        <v>Intervals</v>
      </c>
      <c r="B40" s="1" t="str">
        <v>week 16</v>
      </c>
      <c r="C40" s="1">
        <f>COUNTIFS('State'!B2:B522,"dsa",'State'!C2:C522,A40)</f>
      </c>
      <c r="D40" s="1">
        <f>COUNTIFS('State'!B2:B522,"dsa",'State'!C2:C522,A40,'State'!G2:G522,"&gt;=3")</f>
      </c>
      <c r="E40" s="3">
        <f>IFERROR(D40/C40,0)</f>
      </c>
    </row>
    <row r="41">
      <c r="A41" s="1" t="str">
        <v>Bit Manipulation</v>
      </c>
      <c r="B41" s="1" t="str">
        <v>week 17</v>
      </c>
      <c r="C41" s="1">
        <f>COUNTIFS('State'!B2:B522,"dsa",'State'!C2:C522,A41)</f>
      </c>
      <c r="D41" s="1">
        <f>COUNTIFS('State'!B2:B522,"dsa",'State'!C2:C522,A41,'State'!G2:G522,"&gt;=3")</f>
      </c>
      <c r="E41" s="3">
        <f>IFERROR(D41/C41,0)</f>
      </c>
    </row>
    <row r="42">
      <c r="A42" s="1" t="str">
        <v>Math &amp; Geometry</v>
      </c>
      <c r="B42" s="1" t="str">
        <v>week 17</v>
      </c>
      <c r="C42" s="1">
        <f>COUNTIFS('State'!B2:B522,"dsa",'State'!C2:C522,A42)</f>
      </c>
      <c r="D42" s="1">
        <f>COUNTIFS('State'!B2:B522,"dsa",'State'!C2:C522,A42,'State'!G2:G522,"&gt;=3")</f>
      </c>
      <c r="E42" s="3">
        <f>IFERROR(D42/C42,0)</f>
      </c>
    </row>
    <row r="43">
      <c r="A43" s="1" t="str">
        <v>Google Set A</v>
      </c>
      <c r="B43" s="1" t="str">
        <v>week 18</v>
      </c>
      <c r="C43" s="1">
        <f>COUNTIFS('State'!B2:B522,"dsa",'State'!C2:C522,A43)</f>
      </c>
      <c r="D43" s="1">
        <f>COUNTIFS('State'!B2:B522,"dsa",'State'!C2:C522,A43,'State'!G2:G522,"&gt;=3")</f>
      </c>
      <c r="E43" s="3">
        <f>IFERROR(D43/C43,0)</f>
      </c>
    </row>
    <row r="44">
      <c r="A44" s="1" t="str">
        <v>Google Set B</v>
      </c>
      <c r="B44" s="1" t="str">
        <v>week 19</v>
      </c>
      <c r="C44" s="1">
        <f>COUNTIFS('State'!B2:B522,"dsa",'State'!C2:C522,A44)</f>
      </c>
      <c r="D44" s="1">
        <f>COUNTIFS('State'!B2:B522,"dsa",'State'!C2:C522,A44,'State'!G2:G522,"&gt;=3")</f>
      </c>
      <c r="E44" s="3">
        <f>IFERROR(D44/C44,0)</f>
      </c>
    </row>
    <row r="45">
      <c r="A45" s="1" t="str">
        <v>Hard Mixed</v>
      </c>
      <c r="B45" s="1" t="str">
        <v>week 20</v>
      </c>
      <c r="C45" s="1">
        <f>COUNTIFS('State'!B2:B522,"dsa",'State'!C2:C522,A45)</f>
      </c>
      <c r="D45" s="1">
        <f>COUNTIFS('State'!B2:B522,"dsa",'State'!C2:C522,A45,'State'!G2:G522,"&gt;=3")</f>
      </c>
      <c r="E45" s="3">
        <f>IFERROR(D45/C45,0)</f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6.83203125" customWidth="1"/>
    <col min="2" max="2" width="17.83203125" customWidth="1"/>
    <col min="3" max="3" width="22.83203125" customWidth="1"/>
    <col min="4" max="4" width="46.83203125" customWidth="1"/>
    <col min="5" max="5" width="46.83203125" customWidth="1"/>
    <col min="6" max="6" width="46.83203125" customWidth="1"/>
    <col min="7" max="7" width="34.83203125" customWidth="1"/>
    <col min="8" max="8" width="40.83203125" customWidth="1"/>
    <col min="9" max="9" width="46.83203125" customWidth="1"/>
  </cols>
  <sheetData>
    <row r="1">
      <c r="A1" s="1" t="str">
        <v>week</v>
      </c>
      <c r="B1" s="1" t="str">
        <v>phase</v>
      </c>
      <c r="C1" s="1" t="str">
        <v>starts</v>
      </c>
      <c r="D1" s="1" t="str">
        <v>DSA focus</v>
      </c>
      <c r="E1" s="1" t="str">
        <v>Python focus</v>
      </c>
      <c r="F1" s="1" t="str">
        <v>System design</v>
      </c>
      <c r="G1" s="1" t="str">
        <v>LLD / OOP</v>
      </c>
      <c r="H1" s="1" t="str">
        <v>Behavioural</v>
      </c>
      <c r="I1" s="1" t="str">
        <v>milestone</v>
      </c>
    </row>
    <row r="2">
      <c r="A2" s="1">
        <v>1</v>
      </c>
      <c r="B2" s="1" t="str">
        <v>P0: Python first</v>
      </c>
      <c r="C2" s="1" t="str">
        <v>Mon 31 Aug 2026</v>
      </c>
      <c r="D2" s="1" t="str">
        <v>Python reps A (9). Trivial problems only. The point is the language, not the algorithm.</v>
      </c>
      <c r="E2" s="1" t="str">
        <v>Syntax, types, str vs StringBuilder, slicing, loops, tuple unpacking, list/dict/set/deque/heapq/Counter</v>
      </c>
      <c r="F2" s="1" t="str">
        <v>None. Do not start system design yet.</v>
      </c>
      <c r="G2" s="1" t="str">
        <v>None</v>
      </c>
      <c r="H2" s="1" t="str">
        <v>Inventory 15 candidate stories from the last 8 years, one line each</v>
      </c>
      <c r="I2" s="1" t="str">
        <v>Nine solutions written with zero range(len(x)) and zero string concatenation inside a loop</v>
      </c>
    </row>
    <row r="3">
      <c r="A3" s="1">
        <v>2</v>
      </c>
      <c r="B3" s="1" t="str">
        <v>P0: Python first</v>
      </c>
      <c r="C3" s="1" t="str">
        <v>Mon 7 Sep 2026</v>
      </c>
      <c r="D3" s="1" t="str">
        <v>Python reps B (9), plus re-solve 4 from week 1 without looking</v>
      </c>
      <c r="E3" s="1" t="str">
        <v>Comprehensions vs Streams and LINQ, sorting with key, and Python OOP: classes, dunder methods, dataclasses, properties</v>
      </c>
      <c r="F3" s="1" t="str">
        <v>None</v>
      </c>
      <c r="G3" s="1" t="str">
        <v>OOP mapping: interfaces vs ABC vs Protocol, no method overloading, no true constants</v>
      </c>
      <c r="H3" s="1" t="str">
        <v>Pick your 12 core stories, map each to two Googleyness dimensions</v>
      </c>
      <c r="I3" s="1" t="str">
        <v>Name the right Python container for any Java or C# collection in under five seconds</v>
      </c>
    </row>
    <row r="4">
      <c r="A4" s="1">
        <v>3</v>
      </c>
      <c r="B4" s="1" t="str">
        <v>P0: Python first</v>
      </c>
      <c r="C4" s="1" t="str">
        <v>Mon 14 Sep 2026</v>
      </c>
      <c r="D4" s="1" t="str">
        <v>Big-O refresh. Re-implement 6 reps from memory, 15 minutes each, in a plain Google Doc.</v>
      </c>
      <c r="E4" s="1" t="str">
        <v>Generators, EAFP exception style, context managers, typing and mypy, pytest, copy traps, lru_cache, CPython speed</v>
      </c>
      <c r="F4" s="1" t="str">
        <v>None</v>
      </c>
      <c r="G4" s="1" t="str">
        <v>SOLID restated in Python, composition over inheritance</v>
      </c>
      <c r="H4" s="1" t="str">
        <v>Write full STAR for stories 1 and 2 (conflict, failure)</v>
      </c>
      <c r="I4" s="1" t="str">
        <v>PYTHON GATE: 30 minutes, blank page, no reference. Two easy problems, idiomatic Python. Fail means repeat week 3.</v>
      </c>
    </row>
    <row r="5">
      <c r="A5" s="1">
        <v>4</v>
      </c>
      <c r="B5" s="1" t="str">
        <v>P0: Reset</v>
      </c>
      <c r="C5" s="1" t="str">
        <v>Mon 21 Sep 2026</v>
      </c>
      <c r="D5" s="1" t="str">
        <v>Big-O refresh; Arrays &amp; Hashing (9 problems)</v>
      </c>
      <c r="E5" s="1" t="str">
        <v>Maintain: review every solution for Java residue before you submit it</v>
      </c>
      <c r="F5" s="1" t="str">
        <v>None - build coding base first</v>
      </c>
      <c r="G5" s="1" t="str">
        <v>None</v>
      </c>
      <c r="H5" s="1" t="str">
        <v>Inventory 15 candidate stories from last 8 yrs (title + 1 line each)</v>
      </c>
      <c r="I5" s="1" t="str">
        <v>Solve 9 array/hash problems in Python without looking at Java habits</v>
      </c>
    </row>
    <row r="6">
      <c r="A6" s="1">
        <v>5</v>
      </c>
      <c r="B6" s="1" t="str">
        <v>P0: Reset</v>
      </c>
      <c r="C6" s="1" t="str">
        <v>Mon 28 Sep 2026</v>
      </c>
      <c r="D6" s="1" t="str">
        <v>Two Pointers (5) + Sliding Window (6)</v>
      </c>
      <c r="E6" s="1" t="str">
        <v>Slicing and two-pointer idioms; keep banning index loops</v>
      </c>
      <c r="F6" s="1" t="str">
        <v>None</v>
      </c>
      <c r="G6" s="1" t="str">
        <v>None</v>
      </c>
      <c r="H6" s="1" t="str">
        <v>Pick 12 core stories; map each to 2+ Googleyness dimensions</v>
      </c>
      <c r="I6" s="1" t="str">
        <v>Can name the right Python container for any Java collection in &lt;5s</v>
      </c>
    </row>
    <row r="7">
      <c r="A7" s="1">
        <v>6</v>
      </c>
      <c r="B7" s="1" t="str">
        <v>P1: Core Patterns</v>
      </c>
      <c r="C7" s="1" t="str">
        <v>Mon 5 Oct 2026</v>
      </c>
      <c r="D7" s="1" t="str">
        <v>Stack + Monotonic Stack (7)</v>
      </c>
      <c r="E7" s="1" t="str">
        <v>collections.deque as a stack; monotonic patterns in Python</v>
      </c>
      <c r="F7" s="1" t="str">
        <v>None</v>
      </c>
      <c r="G7" s="1" t="str">
        <v>SOLID principles restated in Python; duck typing vs interfaces</v>
      </c>
      <c r="H7" s="1" t="str">
        <v>Write full STAR for stories 1-2 (conflict, failure)</v>
      </c>
      <c r="I7" s="1" t="str">
        <v>Assessment 0: re-solve 5 Week-1 problems from scratch, timed 25 min each</v>
      </c>
    </row>
    <row r="8">
      <c r="A8" s="1">
        <v>7</v>
      </c>
      <c r="B8" s="1" t="str">
        <v>P1: Core Patterns</v>
      </c>
      <c r="C8" s="1" t="str">
        <v>Mon 12 Oct 2026</v>
      </c>
      <c r="D8" s="1" t="str">
        <v>Binary Search incl. binary-search-on-answer (7)</v>
      </c>
      <c r="E8" s="1" t="str">
        <v>bisect module; mid computation without overflow worries</v>
      </c>
      <c r="F8" s="1" t="str">
        <v>Fundamentals: latency numbers, back-of-envelope math, QPS/storage estimation</v>
      </c>
      <c r="G8" s="1" t="str">
        <v>Composition over inheritance; ABCs vs Java interfaces</v>
      </c>
      <c r="H8" s="1" t="str">
        <v>STAR stories 3-4 (influence without authority, ambiguity)</v>
      </c>
      <c r="I8" s="1" t="str">
        <v>Estimate storage+QPS for 3 systems out loud in under 5 min each</v>
      </c>
    </row>
    <row r="9">
      <c r="A9" s="1">
        <v>8</v>
      </c>
      <c r="B9" s="1" t="str">
        <v>P1: Core Patterns</v>
      </c>
      <c r="C9" s="1" t="str">
        <v>Mon 19 Oct 2026</v>
      </c>
      <c r="D9" s="1" t="str">
        <v>Linked List incl. LRU Cache (11)</v>
      </c>
      <c r="E9" s="1" t="str">
        <v>Node classes with __slots__ and dataclasses; None handling instead of null checks</v>
      </c>
      <c r="F9" s="1" t="str">
        <v>Databases: SQL vs NoSQL, indexing, transactions, replication, CAP</v>
      </c>
      <c r="G9" s="1" t="str">
        <v>LLD: LRU Cache + Deck of Cards</v>
      </c>
      <c r="H9" s="1" t="str">
        <v>STAR stories 5-6 (technical decision, mentoring)</v>
      </c>
      <c r="I9" s="1" t="str">
        <v>LRU Cache written from memory in Python in &lt;20 min</v>
      </c>
    </row>
    <row r="10">
      <c r="A10" s="1">
        <v>9</v>
      </c>
      <c r="B10" s="1" t="str">
        <v>P1: Core Patterns</v>
      </c>
      <c r="C10" s="1" t="str">
        <v>Mon 26 Oct 2026</v>
      </c>
      <c r="D10" s="1" t="str">
        <v>Trees: traversals, BST (15)</v>
      </c>
      <c r="E10" s="1" t="str">
        <v>Recursion limits; converting a deep DFS to an explicit stack</v>
      </c>
      <c r="F10" s="1" t="str">
        <v>Caching (patterns, eviction, invalidation), load balancing, CDN</v>
      </c>
      <c r="G10" s="1" t="str">
        <v>Design patterns in Python: Strategy, Factory, Observer, Builder</v>
      </c>
      <c r="H10" s="1" t="str">
        <v>STAR stories 7-8 (production incident, hard feedback)</v>
      </c>
      <c r="I10" s="1" t="str">
        <v>Draw + explain a cache-aside architecture with failure modes</v>
      </c>
    </row>
    <row r="11">
      <c r="A11" s="1">
        <v>10</v>
      </c>
      <c r="B11" s="1" t="str">
        <v>P1: Core Patterns</v>
      </c>
      <c r="C11" s="1" t="str">
        <v>Mon 2 Nov 2026</v>
      </c>
      <c r="D11" s="1" t="str">
        <v>Tries (3) + Heaps/Priority Queue (7)</v>
      </c>
      <c r="E11" s="1" t="str">
        <v>heapq patterns; nested defaultdict for trie nodes</v>
      </c>
      <c r="F11" s="1" t="str">
        <v>Sharding, partitioning, consistent hashing, hot-key handling</v>
      </c>
      <c r="G11" s="1" t="str">
        <v>LLD: Parking Lot (classes, state, extensibility)</v>
      </c>
      <c r="H11" s="1" t="str">
        <v>STAR stories 9-10 (cross-team dependency, scope tradeoff)</v>
      </c>
      <c r="I11" s="1" t="str">
        <v>Explain consistent hashing on a whiteboard in 5 min</v>
      </c>
    </row>
    <row r="12">
      <c r="A12" s="1">
        <v>11</v>
      </c>
      <c r="B12" s="1" t="str">
        <v>P1: Core Patterns</v>
      </c>
      <c r="C12" s="1" t="str">
        <v>Mon 9 Nov 2026</v>
      </c>
      <c r="D12" s="1" t="str">
        <v>Backtracking (9)</v>
      </c>
      <c r="E12" s="1" t="str">
        <v>Copy semantics: path[:] versus path, and mutable default arguments</v>
      </c>
      <c r="F12" s="1" t="str">
        <v>Message queues, pub/sub, Kafka, idempotency, exactly-once myths</v>
      </c>
      <c r="G12" s="1" t="str">
        <v>LLD: Elevator System</v>
      </c>
      <c r="H12" s="1" t="str">
        <v>STAR stories 11-12; record yourself telling 3 stories</v>
      </c>
      <c r="I12" s="1" t="str">
        <v>ASSESSMENT 1: 2 timed medium problems in a plain Google Doc, no IDE</v>
      </c>
    </row>
    <row r="13">
      <c r="A13" s="1">
        <v>12</v>
      </c>
      <c r="B13" s="1" t="str">
        <v>P2: Graphs &amp; DP</v>
      </c>
      <c r="C13" s="1" t="str">
        <v>Mon 16 Nov 2026</v>
      </c>
      <c r="D13" s="1" t="str">
        <v>Graphs: BFS/DFS, matrix traversal (13)</v>
      </c>
      <c r="E13" s="1" t="str">
        <v>defaultdict(list) adjacency; deque BFS</v>
      </c>
      <c r="F13" s="1" t="str">
        <v>CASE 1: URL shortener. CASE 2: Distributed rate limiter</v>
      </c>
      <c r="G13" s="1" t="str">
        <v>Review: SOLID applied to your own past Java/C# code</v>
      </c>
      <c r="H13" s="1" t="str">
        <v>Rehearse stories 1-6 out loud, 2 min each, no notes</v>
      </c>
      <c r="I13" s="1" t="str">
        <v>Two full design write-ups with API, data model, scale numbers</v>
      </c>
    </row>
    <row r="14">
      <c r="A14" s="1">
        <v>13</v>
      </c>
      <c r="B14" s="1" t="str">
        <v>P2: Graphs &amp; DP</v>
      </c>
      <c r="C14" s="1" t="str">
        <v>Mon 23 Nov 2026</v>
      </c>
      <c r="D14" s="1" t="str">
        <v>Topological sort + Union-Find (6) + Advanced graphs (4)</v>
      </c>
      <c r="E14" s="1" t="str">
        <v>Union-Find as a class versus a plain dict</v>
      </c>
      <c r="F14" s="1" t="str">
        <v>CASE 3: News feed / timeline (fan-out on read vs write)</v>
      </c>
      <c r="G14" s="1" t="str">
        <v>LLD: Rate Limiter + Notification Service</v>
      </c>
      <c r="H14" s="1" t="str">
        <v>Rehearse stories 7-12 out loud</v>
      </c>
      <c r="I14" s="1" t="str">
        <v>Explain fan-out tradeoffs with concrete numbers</v>
      </c>
    </row>
    <row r="15">
      <c r="A15" s="1">
        <v>14</v>
      </c>
      <c r="B15" s="1" t="str">
        <v>P2: Graphs &amp; DP</v>
      </c>
      <c r="C15" s="1" t="str">
        <v>Mon 30 Nov 2026</v>
      </c>
      <c r="D15" s="1" t="str">
        <v>1-D DP (12)</v>
      </c>
      <c r="E15" s="1" t="str">
        <v>functools.cache; converting recursion to iteration</v>
      </c>
      <c r="F15" s="1" t="str">
        <v>CASE 4: Chat system (WhatsApp) - presence, delivery, ordering</v>
      </c>
      <c r="G15" s="1" t="str">
        <v>LLD: Splitwise</v>
      </c>
      <c r="H15" s="1" t="str">
        <v>Draft answers to 10 scenario questions (not STAR - judgment calls)</v>
      </c>
      <c r="I15" s="1" t="str">
        <v>Solve 5 DP problems top-down AND bottom-up</v>
      </c>
    </row>
    <row r="16">
      <c r="A16" s="1">
        <v>15</v>
      </c>
      <c r="B16" s="1" t="str">
        <v>P2: Graphs &amp; DP</v>
      </c>
      <c r="C16" s="1" t="str">
        <v>Mon 7 Dec 2026</v>
      </c>
      <c r="D16" s="1" t="str">
        <v>2-D DP (9)</v>
      </c>
      <c r="E16" s="1" t="str">
        <v>2-D lists without aliasing bugs (the [[0]*n]*m trap)</v>
      </c>
      <c r="F16" s="1" t="str">
        <v>CASE 5: YouTube / video streaming (upload, transcode, CDN)</v>
      </c>
      <c r="G16" s="1" t="str">
        <v>LLD: Vending Machine (state machine)</v>
      </c>
      <c r="H16" s="1" t="str">
        <v>Mock behavioral round #1 (record it, self-score)</v>
      </c>
      <c r="I16" s="1" t="str">
        <v>ASSESSMENT 2: 2 timed problems (1 med + 1 hard) + 1 design in 90 min</v>
      </c>
    </row>
    <row r="17">
      <c r="A17" s="1">
        <v>16</v>
      </c>
      <c r="B17" s="1" t="str">
        <v>P3: Depth</v>
      </c>
      <c r="C17" s="1" t="str">
        <v>Mon 14 Dec 2026</v>
      </c>
      <c r="D17" s="1" t="str">
        <v>Greedy (6) + Intervals (5)</v>
      </c>
      <c r="E17" s="1" t="str">
        <v>sorted(key=...) and bisect.insort for interval work</v>
      </c>
      <c r="F17" s="1" t="str">
        <v>CASE 6: Google Docs collaborative editing (OT/CRDT at a high level)</v>
      </c>
      <c r="G17" s="1" t="str">
        <v>LLD: Meeting Scheduler / Calendar</v>
      </c>
      <c r="H17" s="1" t="str">
        <v>Refine weakest 4 stories based on mock feedback</v>
      </c>
      <c r="I17" s="1" t="str">
        <v>Every story has a quantified Result line with a real metric</v>
      </c>
    </row>
    <row r="18">
      <c r="A18" s="1">
        <v>17</v>
      </c>
      <c r="B18" s="1" t="str">
        <v>P3: Depth</v>
      </c>
      <c r="C18" s="1" t="str">
        <v>Mon 21 Dec 2026</v>
      </c>
      <c r="D18" s="1" t="str">
        <v>Bit Manipulation (6) + Math/Geometry (6)</v>
      </c>
      <c r="E18" s="1" t="str">
        <v>Arbitrary-precision ints, and why 371 is awkward in Python</v>
      </c>
      <c r="F18" s="1" t="str">
        <v>CASE 7: Distributed job scheduler / cron</v>
      </c>
      <c r="G18" s="1" t="str">
        <v>LLD: File System + Logging Framework</v>
      </c>
      <c r="H18" s="1" t="str">
        <v>10 scenario questions rehearsed out loud</v>
      </c>
      <c r="I18" s="1" t="str">
        <v>Explain why 371 Sum of Two Integers is awkward in Python</v>
      </c>
    </row>
    <row r="19">
      <c r="A19" s="1">
        <v>18</v>
      </c>
      <c r="B19" s="1" t="str">
        <v>P3: Depth</v>
      </c>
      <c r="C19" s="1" t="str">
        <v>Mon 28 Dec 2026</v>
      </c>
      <c r="D19" s="1" t="str">
        <v>Google-flavoured set A: design-y problems (8)</v>
      </c>
      <c r="E19" s="1" t="str">
        <v>Writing clean idiomatic Python under time pressure</v>
      </c>
      <c r="F19" s="1" t="str">
        <v>CASE 8: Search autocomplete / typeahead</v>
      </c>
      <c r="G19" s="1" t="str">
        <v>LLD: Snake Game + Text Editor</v>
      </c>
      <c r="H19" s="1" t="str">
        <v>Full 12-story bank locked; 1-page cheat sheet built</v>
      </c>
      <c r="I19" s="1" t="str">
        <v>All 12 stories tellable in 2 min, no filler</v>
      </c>
    </row>
    <row r="20">
      <c r="A20" s="1">
        <v>19</v>
      </c>
      <c r="B20" s="1" t="str">
        <v>P3: Depth</v>
      </c>
      <c r="C20" s="1" t="str">
        <v>Mon 4 Jan 2027</v>
      </c>
      <c r="D20" s="1" t="str">
        <v>Google-flavoured set B: parsing &amp; strings (8)</v>
      </c>
      <c r="E20" s="1" t="str">
        <v>String parsing without regex crutches; str versus bytes</v>
      </c>
      <c r="F20" s="1" t="str">
        <v>CASE 9: Distributed key-value store (quorum, consistency)</v>
      </c>
      <c r="G20" s="1" t="str">
        <v>Review all LLD designs; explain 3 from memory</v>
      </c>
      <c r="H20" s="1" t="str">
        <v>Mock behavioral round #2</v>
      </c>
      <c r="I20" s="1" t="str">
        <v>ASSESSMENT 3: full 45-min system design mock, timed</v>
      </c>
    </row>
    <row r="21">
      <c r="A21" s="1">
        <v>20</v>
      </c>
      <c r="B21" s="1" t="str">
        <v>P4: Simulation</v>
      </c>
      <c r="C21" s="1" t="str">
        <v>Mon 11 Jan 2027</v>
      </c>
      <c r="D21" s="1" t="str">
        <v>Hard problems mixed set (10) - no pattern hints</v>
      </c>
      <c r="E21" s="1" t="str">
        <v>Google Doc drills three times a week, zero autocomplete</v>
      </c>
      <c r="F21" s="1" t="str">
        <v>CASE 10: Ad click aggregation / real-time metrics pipeline</v>
      </c>
      <c r="G21" s="1" t="str">
        <v>None - maintain only</v>
      </c>
      <c r="H21" s="1" t="str">
        <v>Rehearse full behavioral round twice</v>
      </c>
      <c r="I21" s="1" t="str">
        <v>2 timed coding mocks with a human or an AI interviewer</v>
      </c>
    </row>
    <row r="22">
      <c r="A22" s="1">
        <v>21</v>
      </c>
      <c r="B22" s="1" t="str">
        <v>P4: Simulation</v>
      </c>
      <c r="C22" s="1" t="str">
        <v>Mon 18 Jan 2027</v>
      </c>
      <c r="D22" s="1" t="str">
        <v>Spaced repetition: re-solve every problem you failed</v>
      </c>
      <c r="E22" s="1" t="str">
        <v>Speed drills: 15-minute implementations from memory</v>
      </c>
      <c r="F22" s="1" t="str">
        <v>CASE 11: ML model serving / AI infra (2026 Google trend)</v>
      </c>
      <c r="G22" s="1" t="str">
        <v>None</v>
      </c>
      <c r="H22" s="1" t="str">
        <v>Mock behavioral round #3</v>
      </c>
      <c r="I22" s="1" t="str">
        <v>2 timed system design mocks</v>
      </c>
    </row>
    <row r="23">
      <c r="A23" s="1">
        <v>22</v>
      </c>
      <c r="B23" s="1" t="str">
        <v>P4: Simulation</v>
      </c>
      <c r="C23" s="1" t="str">
        <v>Mon 25 Jan 2027</v>
      </c>
      <c r="D23" s="1" t="str">
        <v>Full loop simulation day: 2 coding + 1 design + 1 behavioral</v>
      </c>
      <c r="E23" s="1" t="str">
        <v>Debug-under-pressure drills</v>
      </c>
      <c r="F23" s="1" t="str">
        <v>Weak-area repair based on mock scores</v>
      </c>
      <c r="G23" s="1" t="str">
        <v>None</v>
      </c>
      <c r="H23" s="1" t="str">
        <v>Weak-area repair</v>
      </c>
      <c r="I23" s="1" t="str">
        <v>Complete a 4-hour simulated onsite in one sitting</v>
      </c>
    </row>
    <row r="24">
      <c r="A24" s="1">
        <v>23</v>
      </c>
      <c r="B24" s="1" t="str">
        <v>P4: Simulation</v>
      </c>
      <c r="C24" s="1" t="str">
        <v>Mon 1 Feb 2027</v>
      </c>
      <c r="D24" s="1" t="str">
        <v>Re-solve the 40 highest-value problems from memory</v>
      </c>
      <c r="E24" s="1" t="str">
        <v>Final idiom polish; no Java or C# residue anywhere in your code</v>
      </c>
      <c r="F24" s="1" t="str">
        <v>Re-draw 4 designs from blank page in 45 min each</v>
      </c>
      <c r="G24" s="1" t="str">
        <v>None</v>
      </c>
      <c r="H24" s="1" t="str">
        <v>Final polish; prepare questions for the interviewer</v>
      </c>
      <c r="I24" s="1" t="str">
        <v>READY: all trackers &gt;85%; then contact recruiter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</vt:lpstr>
      <vt:lpstr>Settings</vt:lpstr>
      <vt:lpstr>Dashboard</vt:lpstr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